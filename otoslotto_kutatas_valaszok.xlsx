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unicorvinus-my.sharepoint.com/personal/akos_kiss_stud_uni-corvinus_hu/Documents/Microsoft Teams-csevegési fájlok/"/>
    </mc:Choice>
  </mc:AlternateContent>
  <xr:revisionPtr revIDLastSave="113" documentId="13_ncr:1_{73397E2A-0329-413F-8745-EAC572A39A3F}" xr6:coauthVersionLast="47" xr6:coauthVersionMax="47" xr10:uidLastSave="{5B3E0BF8-0BA9-4116-949F-E2BE4A908B1E}"/>
  <bookViews>
    <workbookView xWindow="-110" yWindow="-110" windowWidth="19420" windowHeight="12220" xr2:uid="{00000000-000D-0000-FFFF-FFFF00000000}"/>
  </bookViews>
  <sheets>
    <sheet name="Sheet2" sheetId="2" r:id="rId1"/>
    <sheet name="Sheet1" sheetId="1" r:id="rId2"/>
    <sheet name="Sheet3" sheetId="3" r:id="rId3"/>
  </sheets>
  <calcPr calcId="191028"/>
  <pivotCaches>
    <pivotCache cacheId="1" r:id="rId4"/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 a="1"/>
  <c r="B4" i="3" s="1"/>
  <c r="B5" i="3" a="1"/>
  <c r="B5" i="3" s="1"/>
  <c r="B6" i="3" a="1"/>
  <c r="B6" i="3" s="1"/>
  <c r="B7" i="3" a="1"/>
  <c r="B7" i="3" s="1"/>
  <c r="B8" i="3" a="1"/>
  <c r="B8" i="3" s="1"/>
  <c r="B9" i="3" a="1"/>
  <c r="B9" i="3" s="1"/>
  <c r="B10" i="3" a="1"/>
  <c r="B10" i="3"/>
  <c r="B11" i="3" a="1"/>
  <c r="B11" i="3"/>
  <c r="B12" i="3" a="1"/>
  <c r="B12" i="3" s="1"/>
  <c r="B13" i="3" a="1"/>
  <c r="B13" i="3" s="1"/>
  <c r="B14" i="3" a="1"/>
  <c r="B14" i="3" s="1"/>
  <c r="B15" i="3" a="1"/>
  <c r="B15" i="3" s="1"/>
  <c r="B16" i="3" a="1"/>
  <c r="B16" i="3" s="1"/>
  <c r="B17" i="3" a="1"/>
  <c r="B17" i="3" s="1"/>
  <c r="B18" i="3" a="1"/>
  <c r="B18" i="3" s="1"/>
  <c r="B19" i="3" a="1"/>
  <c r="B19" i="3" s="1"/>
  <c r="B20" i="3" a="1"/>
  <c r="B20" i="3" s="1"/>
  <c r="B21" i="3" a="1"/>
  <c r="B21" i="3" s="1"/>
  <c r="B22" i="3" a="1"/>
  <c r="B22" i="3" s="1"/>
  <c r="B23" i="3" a="1"/>
  <c r="B23" i="3" s="1"/>
  <c r="B24" i="3" a="1"/>
  <c r="B24" i="3" s="1"/>
  <c r="B25" i="3" a="1"/>
  <c r="B25" i="3" s="1"/>
  <c r="B26" i="3" a="1"/>
  <c r="B26" i="3" s="1"/>
  <c r="B27" i="3" a="1"/>
  <c r="B27" i="3" s="1"/>
  <c r="B28" i="3" a="1"/>
  <c r="B28" i="3" s="1"/>
  <c r="B29" i="3" a="1"/>
  <c r="B29" i="3" s="1"/>
  <c r="B30" i="3" a="1"/>
  <c r="B30" i="3" s="1"/>
  <c r="B31" i="3" a="1"/>
  <c r="B31" i="3" s="1"/>
  <c r="B32" i="3" a="1"/>
  <c r="B32" i="3" s="1"/>
  <c r="B33" i="3" a="1"/>
  <c r="B33" i="3" s="1"/>
  <c r="B34" i="3" a="1"/>
  <c r="B34" i="3" s="1"/>
  <c r="B35" i="3" a="1"/>
  <c r="B35" i="3" s="1"/>
  <c r="B36" i="3" a="1"/>
  <c r="B36" i="3" s="1"/>
  <c r="B37" i="3" a="1"/>
  <c r="B37" i="3" s="1"/>
  <c r="B38" i="3" a="1"/>
  <c r="B38" i="3" s="1"/>
  <c r="B39" i="3" a="1"/>
  <c r="B39" i="3" s="1"/>
  <c r="B40" i="3" a="1"/>
  <c r="B40" i="3" s="1"/>
  <c r="B41" i="3" a="1"/>
  <c r="B41" i="3" s="1"/>
  <c r="B42" i="3" a="1"/>
  <c r="B42" i="3" s="1"/>
  <c r="B43" i="3" a="1"/>
  <c r="B43" i="3"/>
  <c r="B44" i="3" a="1"/>
  <c r="B44" i="3" s="1"/>
  <c r="B45" i="3" a="1"/>
  <c r="B45" i="3" s="1"/>
  <c r="B46" i="3" a="1"/>
  <c r="B46" i="3" s="1"/>
  <c r="B47" i="3" a="1"/>
  <c r="B47" i="3" s="1"/>
  <c r="B48" i="3" a="1"/>
  <c r="B48" i="3" s="1"/>
  <c r="B49" i="3" a="1"/>
  <c r="B49" i="3" s="1"/>
  <c r="B50" i="3" a="1"/>
  <c r="B50" i="3" s="1"/>
  <c r="B51" i="3" a="1"/>
  <c r="B51" i="3" s="1"/>
  <c r="B52" i="3" a="1"/>
  <c r="B52" i="3" s="1"/>
  <c r="B53" i="3" a="1"/>
  <c r="B53" i="3" s="1"/>
  <c r="B54" i="3" a="1"/>
  <c r="B54" i="3" s="1"/>
  <c r="B55" i="3" a="1"/>
  <c r="B55" i="3" s="1"/>
  <c r="B56" i="3" a="1"/>
  <c r="B56" i="3" s="1"/>
  <c r="B57" i="3" a="1"/>
  <c r="B57" i="3" s="1"/>
  <c r="B58" i="3" a="1"/>
  <c r="B58" i="3" s="1"/>
  <c r="B59" i="3" a="1"/>
  <c r="B59" i="3" s="1"/>
  <c r="B60" i="3" a="1"/>
  <c r="B60" i="3" s="1"/>
  <c r="B61" i="3" a="1"/>
  <c r="B61" i="3" s="1"/>
  <c r="B62" i="3" a="1"/>
  <c r="B62" i="3" s="1"/>
  <c r="B63" i="3" a="1"/>
  <c r="B63" i="3" s="1"/>
  <c r="B64" i="3" a="1"/>
  <c r="B64" i="3" s="1"/>
  <c r="B65" i="3" a="1"/>
  <c r="B65" i="3"/>
  <c r="B66" i="3" a="1"/>
  <c r="B66" i="3" s="1"/>
  <c r="B67" i="3" a="1"/>
  <c r="B67" i="3" s="1"/>
  <c r="B68" i="3" a="1"/>
  <c r="B68" i="3" s="1"/>
  <c r="B69" i="3" a="1"/>
  <c r="B69" i="3" s="1"/>
  <c r="B70" i="3" a="1"/>
  <c r="B70" i="3" s="1"/>
  <c r="B71" i="3" a="1"/>
  <c r="B71" i="3" s="1"/>
  <c r="B72" i="3" a="1"/>
  <c r="B72" i="3" s="1"/>
  <c r="B73" i="3" a="1"/>
  <c r="B73" i="3" s="1"/>
  <c r="B74" i="3" a="1"/>
  <c r="B74" i="3" s="1"/>
  <c r="B75" i="3" a="1"/>
  <c r="B75" i="3"/>
  <c r="B76" i="3" a="1"/>
  <c r="B76" i="3" s="1"/>
  <c r="B77" i="3" a="1"/>
  <c r="B77" i="3" s="1"/>
  <c r="B78" i="3" a="1"/>
  <c r="B78" i="3" s="1"/>
  <c r="B79" i="3" a="1"/>
  <c r="B79" i="3" s="1"/>
  <c r="B80" i="3" a="1"/>
  <c r="B80" i="3" s="1"/>
  <c r="B81" i="3" a="1"/>
  <c r="B81" i="3" s="1"/>
  <c r="B82" i="3" a="1"/>
  <c r="B82" i="3" s="1"/>
  <c r="B83" i="3" a="1"/>
  <c r="B83" i="3" s="1"/>
  <c r="B84" i="3" a="1"/>
  <c r="B84" i="3" s="1"/>
  <c r="B85" i="3" a="1"/>
  <c r="B85" i="3" s="1"/>
  <c r="B86" i="3" a="1"/>
  <c r="B86" i="3" s="1"/>
  <c r="B87" i="3" a="1"/>
  <c r="B87" i="3" s="1"/>
  <c r="B88" i="3" a="1"/>
  <c r="B88" i="3" s="1"/>
  <c r="B89" i="3" a="1"/>
  <c r="B89" i="3" s="1"/>
  <c r="B90" i="3" a="1"/>
  <c r="B90" i="3" s="1"/>
  <c r="B91" i="3" a="1"/>
  <c r="B91" i="3" s="1"/>
  <c r="B92" i="3" a="1"/>
  <c r="B92" i="3" s="1"/>
  <c r="B93" i="3" a="1"/>
  <c r="B93" i="3" s="1"/>
  <c r="B94" i="3" a="1"/>
  <c r="B94" i="3" s="1"/>
  <c r="B95" i="3" a="1"/>
  <c r="B95" i="3" s="1"/>
  <c r="B96" i="3" a="1"/>
  <c r="B96" i="3" s="1"/>
  <c r="B97" i="3" a="1"/>
  <c r="B97" i="3" s="1"/>
  <c r="B98" i="3" a="1"/>
  <c r="B98" i="3" s="1"/>
  <c r="B3" i="3" a="1"/>
  <c r="B3" i="3" s="1"/>
  <c r="B2" i="3" a="1"/>
  <c r="B2" i="3" s="1"/>
  <c r="T99" i="1"/>
  <c r="U99" i="1"/>
  <c r="V99" i="1"/>
  <c r="W99" i="1"/>
  <c r="X99" i="1"/>
  <c r="S99" i="1"/>
  <c r="O99" i="1"/>
  <c r="P99" i="1"/>
  <c r="Q99" i="1"/>
  <c r="N99" i="1"/>
  <c r="H99" i="1"/>
  <c r="I99" i="1"/>
  <c r="J99" i="1"/>
  <c r="K99" i="1"/>
  <c r="G99" i="1"/>
  <c r="D9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<sst xmlns="http://schemas.openxmlformats.org/spreadsheetml/2006/main" count="1159" uniqueCount="307">
  <si>
    <t>Válaszadó ID</t>
  </si>
  <si>
    <t>Korosztály</t>
  </si>
  <si>
    <t>Játék gyakorisága</t>
  </si>
  <si>
    <t>Általános vélemény (1-10)</t>
  </si>
  <si>
    <t>Társított kulcsszavak</t>
  </si>
  <si>
    <t>Utolsó szelvény beszerzése</t>
  </si>
  <si>
    <t>Állítás: Esélyek irreálisan alacsonyak (1-5)</t>
  </si>
  <si>
    <t>Állítás: Régi generációk játéka (1-5)</t>
  </si>
  <si>
    <t>Állítás: Társadalmi élmény (1-5)</t>
  </si>
  <si>
    <t>Állítás: Megéri az árát (1-5)</t>
  </si>
  <si>
    <t>Állítás: Modern technológia fontossága (1-5)</t>
  </si>
  <si>
    <t>Játékélmény jelentése</t>
  </si>
  <si>
    <t>Kívánt fejlesztések (Top 5 választék)</t>
  </si>
  <si>
    <t>Fázis vonzereje: Termék (1-5)</t>
  </si>
  <si>
    <t>Fázis vonzereje: Csatornák (1-5)</t>
  </si>
  <si>
    <t>Fázis vonzereje: Sorsolás (1-5)</t>
  </si>
  <si>
    <t>Fázis vonzereje: Kifizetés (1-5)</t>
  </si>
  <si>
    <t>Egyetlen változtatás javaslata</t>
  </si>
  <si>
    <t>2030 Javaslat: Mobilapp fókusz</t>
  </si>
  <si>
    <t>2030 Javaslat: Modern marketing</t>
  </si>
  <si>
    <t>2030 Javaslat: Digitális partnerségek</t>
  </si>
  <si>
    <t>2030 Javaslat: Fesztivál akciók</t>
  </si>
  <si>
    <t>2030 Javaslat: Gyors digitális kifizetés</t>
  </si>
  <si>
    <t>Támogatási hajlandóság zöld/sturtup célokra</t>
  </si>
  <si>
    <t>ID_001</t>
  </si>
  <si>
    <t>24-25 éves</t>
  </si>
  <si>
    <t>Nagyon ritkán (évente egyszer)</t>
  </si>
  <si>
    <t>Esetleges pénzforrás</t>
  </si>
  <si>
    <t>Online/applikáción keresztül</t>
  </si>
  <si>
    <t>A lottózók szaga jut eszembe róla.</t>
  </si>
  <si>
    <t>Kisebb, gyakoribb nyeremények, Digitális sorsolás, VR/AR technológiák, Hűségprogram, pontgyűjtés</t>
  </si>
  <si>
    <t>Modern applikáció, ami nem akad le.</t>
  </si>
  <si>
    <t>ID_002</t>
  </si>
  <si>
    <t>18-20 éves</t>
  </si>
  <si>
    <t>Soha</t>
  </si>
  <si>
    <t>Nagy nyeremények, Izgalom, Régimódi</t>
  </si>
  <si>
    <t>Nem játszottam még</t>
  </si>
  <si>
    <t>Semmit nem jelent, pénzkidobás.</t>
  </si>
  <si>
    <t>Gyors, egyszerű nyereményfelvétel digitális úton, Vonzóbb/modernebb értékesítési pontok, Hűségprogram, pontgyűjtés</t>
  </si>
  <si>
    <t>Ne kelljen lottózóba menni a nyereményért.</t>
  </si>
  <si>
    <t>ID_003</t>
  </si>
  <si>
    <t>Régimódi, Hagyományos, Unatkozás</t>
  </si>
  <si>
    <t>Fizikai lottózó/újságos/bolt</t>
  </si>
  <si>
    <t>Egyedi, limitált kiadású szelvénydizájnok, Valós idejű értesítések</t>
  </si>
  <si>
    <t>Legyen minden online és azonnali.</t>
  </si>
  <si>
    <t>ID_004</t>
  </si>
  <si>
    <t>Egy kis adrenalin, hátha bejön.</t>
  </si>
  <si>
    <t>Vonzóbb/modernebb értékesítési pontok, Interaktív online szelvénykitöltő felület</t>
  </si>
  <si>
    <t>ID_005</t>
  </si>
  <si>
    <t>Unatkozás</t>
  </si>
  <si>
    <t>A remény, hogy egyszer megváltozik az életem.</t>
  </si>
  <si>
    <t>Kisebb, gyakoribb nyeremények, Egyedi, limitált kiadású szelvénydizájnok, Valós idejű értesítések, Interaktív online szelvénykitöltő felület, Közösségi funkciók</t>
  </si>
  <si>
    <t>Átláthatóbb sorsolási folyamat.</t>
  </si>
  <si>
    <t>ID_006</t>
  </si>
  <si>
    <t>21-23 éves</t>
  </si>
  <si>
    <t>Ritkán (néhány havonta)</t>
  </si>
  <si>
    <t>Régimódi, Izgalom</t>
  </si>
  <si>
    <t>Családtag vett nekem</t>
  </si>
  <si>
    <t>Izgalmas várni a számokat szombat este.</t>
  </si>
  <si>
    <t>Gyors, egyszerű nyereményfelvétel digitális úton, VR/AR technológiák, Kisebb, gyakoribb nyeremények, Vonzóbb/modernebb értékesítési pontok, Valós idejű értesítések</t>
  </si>
  <si>
    <t>ID_007</t>
  </si>
  <si>
    <t>Izgalom, Hagyományos, Könnyű játék</t>
  </si>
  <si>
    <t>Digitálisan egész jó, de papíron macera.</t>
  </si>
  <si>
    <t>Valós idejű értesítések, Egyedi, limitált kiadású szelvénydizájnok</t>
  </si>
  <si>
    <t>ID_008</t>
  </si>
  <si>
    <t>Könnyű játék, Izgalom, Unatkozás</t>
  </si>
  <si>
    <t>Unalmas, eljárt felette az idő.</t>
  </si>
  <si>
    <t>Gyors, egyszerű nyereményfelvétel digitális úton</t>
  </si>
  <si>
    <t>Több esély kisebb összegekre.</t>
  </si>
  <si>
    <t>ID_009</t>
  </si>
  <si>
    <t>Csak egy felesleges adó azoknak, akik nem tudnak számolni.</t>
  </si>
  <si>
    <t>Hűségprogram, pontgyűjtés, Gyors, egyszerű nyereményfelvétel digitális úton, Vonzóbb/modernebb értékesítési pontok</t>
  </si>
  <si>
    <t>Ingyen szelvény minden 10. után.</t>
  </si>
  <si>
    <t>ID_010</t>
  </si>
  <si>
    <t>Családi hagyomány</t>
  </si>
  <si>
    <t>Kisebb, gyakoribb nyeremények, Közösségi funkciók, Egyedi, limitált kiadású szelvénydizájnok</t>
  </si>
  <si>
    <t>ID_011</t>
  </si>
  <si>
    <t>Izgalom</t>
  </si>
  <si>
    <t>VR/AR technológiák, Kisebb, gyakoribb nyeremények, Gyors, egyszerű nyereményfelvétel digitális úton, Valós idejű értesítések</t>
  </si>
  <si>
    <t>Lehessen Revoluttal vagy Apple Pay-jel fizetni mindenhol.</t>
  </si>
  <si>
    <t>ID_012</t>
  </si>
  <si>
    <t>Kisebb, gyakoribb nyeremények, Közösségi funkciók, Gyors, egyszerű nyereményfelvétel digitális úton, Vonzóbb/modernebb értékesítési pontok, Hűségprogram, pontgyűjtés</t>
  </si>
  <si>
    <t>ID_013</t>
  </si>
  <si>
    <t>Esetleges pénzforrás, Családi hagyomány</t>
  </si>
  <si>
    <t>Legyen menőbb az imidzs.</t>
  </si>
  <si>
    <t>ID_014</t>
  </si>
  <si>
    <t>Nagy nyeremények, Esetleges pénzforrás</t>
  </si>
  <si>
    <t>Családi program, anyukámmal szoktunk játszani.</t>
  </si>
  <si>
    <t>Kisebb, gyakoribb nyeremények, Hűségprogram, pontgyűjtés, Közösségi funkciók, Egyedi, limitált kiadású szelvénydizájnok</t>
  </si>
  <si>
    <t>ID_015</t>
  </si>
  <si>
    <t>Alkalmanként (havonta 1-2 alkalommal)</t>
  </si>
  <si>
    <t>Kisebb, gyakoribb nyeremények, Hűségprogram, pontgyűjtés, Vonzóbb/modernebb értékesítési pontok, Valós idejű értesítések</t>
  </si>
  <si>
    <t>ID_016</t>
  </si>
  <si>
    <t>Interaktív online szelvénykitöltő felület, VR/AR technológiák, Hűségprogram, pontgyűjtés</t>
  </si>
  <si>
    <t>Közösségi lottózás barátokkal az appban.</t>
  </si>
  <si>
    <t>ID_017</t>
  </si>
  <si>
    <t>Családi hagyomány, Unatkozás, Régimódi</t>
  </si>
  <si>
    <t>Néha veszek egyet, ha nagy a jackpot.</t>
  </si>
  <si>
    <t>Vonzóbb/modernebb értékesítési pontok, VR/AR technológiák, Gyors, egyszerű nyereményfelvétel digitális úton, Hűségprogram, pontgyűjtés</t>
  </si>
  <si>
    <t>Zöld célok támogatása minden szelvény után.</t>
  </si>
  <si>
    <t>ID_018</t>
  </si>
  <si>
    <t>Nagy nyeremények, Régimódi, Unatkozás</t>
  </si>
  <si>
    <t>Hűségprogram, pontgyűjtés, Gyors, egyszerű nyereményfelvétel digitális úton</t>
  </si>
  <si>
    <t>ID_019</t>
  </si>
  <si>
    <t>Hagyományos</t>
  </si>
  <si>
    <t>Hűségprogram, pontgyűjtés, Vonzóbb/modernebb értékesítési pontok, Interaktív online szelvénykitöltő felület</t>
  </si>
  <si>
    <t>ID_020</t>
  </si>
  <si>
    <t>Gyakran (hetente/kéthetente)</t>
  </si>
  <si>
    <t>Unatkozás, Esetleges pénzforrás, Családi hagyomány</t>
  </si>
  <si>
    <t>Valós idejű értesítések, Interaktív online szelvénykitöltő felület, VR/AR technológiák, Kisebb, gyakoribb nyeremények</t>
  </si>
  <si>
    <t>ID_021</t>
  </si>
  <si>
    <t>Hűségprogram, pontgyűjtés, Közösségi funkciók, VR/AR technológiák, Valós idejű értesítések, Kisebb, gyakoribb nyeremények</t>
  </si>
  <si>
    <t>ID_022</t>
  </si>
  <si>
    <t>Unatkozás, Régimódi, Könnyű játék</t>
  </si>
  <si>
    <t>VR/AR technológiák, Digitális sorsolás</t>
  </si>
  <si>
    <t>ID_023</t>
  </si>
  <si>
    <t>Valós idejű értesítések, Hűségprogram, pontgyűjtés, Digitális sorsolás, Gyors, egyszerű nyereményfelvétel digitális úton</t>
  </si>
  <si>
    <t>ID_024</t>
  </si>
  <si>
    <t>Unatkozás, Izgalom, Hagyományos</t>
  </si>
  <si>
    <t>VR/AR technológiák, Hűségprogram, pontgyűjtés</t>
  </si>
  <si>
    <t>ID_025</t>
  </si>
  <si>
    <t>Unatkozás, Hagyományos, Könnyű játék</t>
  </si>
  <si>
    <t>Valós idejű értesítések, Közösségi funkciók, Egyedi, limitált kiadású szelvénydizájnok</t>
  </si>
  <si>
    <t>ID_026</t>
  </si>
  <si>
    <t>Régimódi, Unatkozás</t>
  </si>
  <si>
    <t>Interaktív online szelvénykitöltő felület, Kisebb, gyakoribb nyeremények, Közösségi funkciók</t>
  </si>
  <si>
    <t>ID_027</t>
  </si>
  <si>
    <t>Családi hagyomány, Könnyű játék, Izgalom</t>
  </si>
  <si>
    <t>Gyors, egyszerű nyereményfelvétel digitális úton, Kisebb, gyakoribb nyeremények, Közösségi funkciók</t>
  </si>
  <si>
    <t>ID_028</t>
  </si>
  <si>
    <t>Családi hagyomány, Unatkozás</t>
  </si>
  <si>
    <t>Valós idejű értesítések</t>
  </si>
  <si>
    <t>ID_029</t>
  </si>
  <si>
    <t>VR/AR technológiák, Egyedi, limitált kiadású szelvénydizájnok, Gyors, egyszerű nyereményfelvétel digitális úton, Vonzóbb/modernebb értékesítési pontok, Digitális sorsolás</t>
  </si>
  <si>
    <t>ID_030</t>
  </si>
  <si>
    <t>Régimódi</t>
  </si>
  <si>
    <t>Vonzóbb/modernebb értékesítési pontok</t>
  </si>
  <si>
    <t>ID_031</t>
  </si>
  <si>
    <t>Közösségi funkciók, Hűségprogram, pontgyűjtés, Kisebb, gyakoribb nyeremények</t>
  </si>
  <si>
    <t>ID_032</t>
  </si>
  <si>
    <t>Izgalom, Hagyományos</t>
  </si>
  <si>
    <t>VR/AR technológiák, Hűségprogram, pontgyűjtés, Egyedi, limitált kiadású szelvénydizájnok, Közösségi funkciók, Interaktív online szelvénykitöltő felület</t>
  </si>
  <si>
    <t>ID_033</t>
  </si>
  <si>
    <t>Régimódi, Könnyű játék</t>
  </si>
  <si>
    <t>Interaktív online szelvénykitöltő felület, Vonzóbb/modernebb értékesítési pontok, Digitális sorsolás, Valós idejű értesítések, Közösségi funkciók</t>
  </si>
  <si>
    <t>ID_034</t>
  </si>
  <si>
    <t>Családi hagyomány, Nagy nyeremények</t>
  </si>
  <si>
    <t>Egyedi, limitált kiadású szelvénydizájnok, Interaktív online szelvénykitöltő felület, Vonzóbb/modernebb értékesítési pontok</t>
  </si>
  <si>
    <t>ID_035</t>
  </si>
  <si>
    <t>Családi hagyomány, Hagyományos</t>
  </si>
  <si>
    <t>Kisebb, gyakoribb nyeremények, VR/AR technológiák</t>
  </si>
  <si>
    <t>ID_036</t>
  </si>
  <si>
    <t>Nagy nyeremények, Hagyományos</t>
  </si>
  <si>
    <t>Digitális sorsolás</t>
  </si>
  <si>
    <t>ID_037</t>
  </si>
  <si>
    <t>Könnyű játék, Esetleges pénzforrás</t>
  </si>
  <si>
    <t>Digitális sorsolás, Gyors, egyszerű nyereményfelvétel digitális úton, Vonzóbb/modernebb értékesítési pontok</t>
  </si>
  <si>
    <t>ID_038</t>
  </si>
  <si>
    <t>Hűségprogram, pontgyűjtés, Gyors, egyszerű nyereményfelvétel digitális úton, Kisebb, gyakoribb nyeremények, Valós idejű értesítések, Digitális sorsolás</t>
  </si>
  <si>
    <t>ID_039</t>
  </si>
  <si>
    <t>Hagyományos, Családi hagyomány, Régimódi</t>
  </si>
  <si>
    <t>VR/AR technológiák</t>
  </si>
  <si>
    <t>ID_040</t>
  </si>
  <si>
    <t>Nagy nyeremények, Esetleges pénzforrás, Régimódi</t>
  </si>
  <si>
    <t>Interaktív online szelvénykitöltő felület</t>
  </si>
  <si>
    <t>ID_041</t>
  </si>
  <si>
    <t>Könnyű játék, Hagyományos</t>
  </si>
  <si>
    <t>Hűségprogram, pontgyűjtés, VR/AR technológiák, Gyors, egyszerű nyereményfelvétel digitális úton, Digitális sorsolás, Kisebb, gyakoribb nyeremények</t>
  </si>
  <si>
    <t>ID_042</t>
  </si>
  <si>
    <t>Könnyű játék</t>
  </si>
  <si>
    <t>Gyors, egyszerű nyereményfelvétel digitális úton, Kisebb, gyakoribb nyeremények, Vonzóbb/modernebb értékesítési pontok, Egyedi, limitált kiadású szelvénydizájnok</t>
  </si>
  <si>
    <t>ID_043</t>
  </si>
  <si>
    <t>Unatkozás, Nagy nyeremények, Esetleges pénzforrás</t>
  </si>
  <si>
    <t>Hűségprogram, pontgyűjtés, Közösségi funkciók, Vonzóbb/modernebb értékesítési pontok, Kisebb, gyakoribb nyeremények</t>
  </si>
  <si>
    <t>ID_044</t>
  </si>
  <si>
    <t>Unatkozás, Esetleges pénzforrás</t>
  </si>
  <si>
    <t>Vonzóbb/modernebb értékesítési pontok, Interaktív online szelvénykitöltő felület, Gyors, egyszerű nyereményfelvétel digitális úton, Közösségi funkciók, Hűségprogram, pontgyűjtés</t>
  </si>
  <si>
    <t>ID_045</t>
  </si>
  <si>
    <t>Izgalom, Hagyományos, Családi hagyomány</t>
  </si>
  <si>
    <t>Hűségprogram, pontgyűjtés, Gyors, egyszerű nyereményfelvétel digitális úton, Digitális sorsolás, VR/AR technológiák</t>
  </si>
  <si>
    <t>ID_046</t>
  </si>
  <si>
    <t>Könnyű játék, Családi hagyomány, Izgalom</t>
  </si>
  <si>
    <t>Vonzóbb/modernebb értékesítési pontok, VR/AR technológiák, Gyors, egyszerű nyereményfelvétel digitális úton, Kisebb, gyakoribb nyeremények, Valós idejű értesítések</t>
  </si>
  <si>
    <t>ID_047</t>
  </si>
  <si>
    <t>Nagy nyeremények</t>
  </si>
  <si>
    <t>ID_048</t>
  </si>
  <si>
    <t>Egyedi, limitált kiadású szelvénydizájnok, Vonzóbb/modernebb értékesítési pontok, Valós idejű értesítések, Hűségprogram, pontgyűjtés</t>
  </si>
  <si>
    <t>ID_049</t>
  </si>
  <si>
    <t>Kisebb, gyakoribb nyeremények, VR/AR technológiák, Egyedi, limitált kiadású szelvénydizájnok</t>
  </si>
  <si>
    <t>ID_050</t>
  </si>
  <si>
    <t>Valós idejű értesítések, Kisebb, gyakoribb nyeremények, VR/AR technológiák, Gyors, egyszerű nyereményfelvétel digitális úton, Interaktív online szelvénykitöltő felület</t>
  </si>
  <si>
    <t>ID_051</t>
  </si>
  <si>
    <t>Hagyományos, Családi hagyomány, Könnyű játék</t>
  </si>
  <si>
    <t>Hűségprogram, pontgyűjtés, Vonzóbb/modernebb értékesítési pontok, Közösségi funkciók, Kisebb, gyakoribb nyeremények, Gyors, egyszerű nyereményfelvétel digitális úton</t>
  </si>
  <si>
    <t>ID_052</t>
  </si>
  <si>
    <t>Nagy nyeremények, Régimódi, Családi hagyomány</t>
  </si>
  <si>
    <t>Kisebb, gyakoribb nyeremények, Hűségprogram, pontgyűjtés, Egyedi, limitált kiadású szelvénydizájnok, VR/AR technológiák, Gyors, egyszerű nyereményfelvétel digitális úton</t>
  </si>
  <si>
    <t>ID_053</t>
  </si>
  <si>
    <t>Könnyű játék, Unatkozás, Esetleges pénzforrás</t>
  </si>
  <si>
    <t>VR/AR technológiák, Vonzóbb/modernebb értékesítési pontok, Gyors, egyszerű nyereményfelvétel digitális úton, Kisebb, gyakoribb nyeremények</t>
  </si>
  <si>
    <t>ID_054</t>
  </si>
  <si>
    <t>Nagy nyeremények, Könnyű játék</t>
  </si>
  <si>
    <t>Vonzóbb/modernebb értékesítési pontok, Interaktív online szelvénykitöltő felület, Gyors, egyszerű nyereményfelvétel digitális úton, Hűségprogram, pontgyűjtés, Egyedi, limitált kiadású szelvénydizájnok</t>
  </si>
  <si>
    <t>ID_055</t>
  </si>
  <si>
    <t>ID_056</t>
  </si>
  <si>
    <t>Hagyományos, Izgalom</t>
  </si>
  <si>
    <t>VR/AR technológiák, Közösségi funkciók, Vonzóbb/modernebb értékesítési pontok</t>
  </si>
  <si>
    <t>ID_057</t>
  </si>
  <si>
    <t>Közösségi funkciók</t>
  </si>
  <si>
    <t>ID_058</t>
  </si>
  <si>
    <t>Könnyű játék, Unatkozás, Hagyományos</t>
  </si>
  <si>
    <t>Közösségi funkciók, VR/AR technológiák, Gyors, egyszerű nyereményfelvétel digitális úton, Kisebb, gyakoribb nyeremények, Hűségprogram, pontgyűjtés</t>
  </si>
  <si>
    <t>ID_059</t>
  </si>
  <si>
    <t>Egyedi, limitált kiadású szelvénydizájnok</t>
  </si>
  <si>
    <t>ID_060</t>
  </si>
  <si>
    <t>Családi hagyomány, Régimódi, Unatkozás</t>
  </si>
  <si>
    <t>Egyedi, limitált kiadású szelvénydizájnok, Interaktív online szelvénykitöltő felület, Gyors, egyszerű nyereményfelvétel digitális úton, Hűségprogram, pontgyűjtés, Vonzóbb/modernebb értékesítési pontok</t>
  </si>
  <si>
    <t>ID_061</t>
  </si>
  <si>
    <t>Digitális sorsolás, Interaktív online szelvénykitöltő felület, Kisebb, gyakoribb nyeremények, Valós idejű értesítések</t>
  </si>
  <si>
    <t>ID_062</t>
  </si>
  <si>
    <t>Közösségi funkciók, VR/AR technológiák</t>
  </si>
  <si>
    <t>ID_063</t>
  </si>
  <si>
    <t>ID_064</t>
  </si>
  <si>
    <t>ID_065</t>
  </si>
  <si>
    <t>Családi hagyomány, Hagyományos, Esetleges pénzforrás</t>
  </si>
  <si>
    <t>Egyedi, limitált kiadású szelvénydizájnok, Vonzóbb/modernebb értékesítési pontok</t>
  </si>
  <si>
    <t>ID_066</t>
  </si>
  <si>
    <t>Esetleges pénzforrás, Izgalom</t>
  </si>
  <si>
    <t>Kisebb, gyakoribb nyeremények, VR/AR technológiák, Valós idejű értesítések</t>
  </si>
  <si>
    <t>ID_067</t>
  </si>
  <si>
    <t>ID_068</t>
  </si>
  <si>
    <t>Családi hagyomány, Nagy nyeremények, Hagyományos</t>
  </si>
  <si>
    <t>Vonzóbb/modernebb értékesítési pontok, Gyors, egyszerű nyereményfelvétel digitális úton, Egyedi, limitált kiadású szelvénydizájnok, Interaktív online szelvénykitöltő felület, Digitális sorsolás</t>
  </si>
  <si>
    <t>ID_069</t>
  </si>
  <si>
    <t>ID_070</t>
  </si>
  <si>
    <t>Vonzóbb/modernebb értékesítési pontok, VR/AR technológiák, Kisebb, gyakoribb nyeremények, Egyedi, limitált kiadású szelvénydizájnok</t>
  </si>
  <si>
    <t>ID_071</t>
  </si>
  <si>
    <t>Esetleges pénzforrás, Régimódi, Unatkozás</t>
  </si>
  <si>
    <t>Közösségi funkciók, Kisebb, gyakoribb nyeremények</t>
  </si>
  <si>
    <t>ID_072</t>
  </si>
  <si>
    <t>Esetleges pénzforrás, Unatkozás</t>
  </si>
  <si>
    <t>Egyedi, limitált kiadású szelvénydizájnok, Gyors, egyszerű nyereményfelvétel digitális úton</t>
  </si>
  <si>
    <t>ID_073</t>
  </si>
  <si>
    <t>Kisebb, gyakoribb nyeremények, Vonzóbb/modernebb értékesítési pontok, Digitális sorsolás, Közösségi funkciók, Egyedi, limitált kiadású szelvénydizájnok</t>
  </si>
  <si>
    <t>ID_074</t>
  </si>
  <si>
    <t>ID_075</t>
  </si>
  <si>
    <t>Egyedi, limitált kiadású szelvénydizájnok, Valós idejű értesítések, Gyors, egyszerű nyereményfelvétel digitális úton, Vonzóbb/modernebb értékesítési pontok</t>
  </si>
  <si>
    <t>ID_076</t>
  </si>
  <si>
    <t>Könnyű játék, Nagy nyeremények, Családi hagyomány</t>
  </si>
  <si>
    <t>Interaktív online szelvénykitöltő felület, Valós idejű értesítések, Vonzóbb/modernebb értékesítési pontok, Gyors, egyszerű nyereményfelvétel digitális úton</t>
  </si>
  <si>
    <t>ID_077</t>
  </si>
  <si>
    <t>Izgalom, Nagy nyeremények</t>
  </si>
  <si>
    <t>Kisebb, gyakoribb nyeremények, Digitális sorsolás, Valós idejű értesítések, Vonzóbb/modernebb értékesítési pontok, Interaktív online szelvénykitöltő felület</t>
  </si>
  <si>
    <t>ID_078</t>
  </si>
  <si>
    <t>Régimódi, Nagy nyeremények</t>
  </si>
  <si>
    <t>Kisebb, gyakoribb nyeremények</t>
  </si>
  <si>
    <t>ID_079</t>
  </si>
  <si>
    <t>Hagyományos, Unatkozás</t>
  </si>
  <si>
    <t>Kisebb, gyakoribb nyeremények, Interaktív online szelvénykitöltő felület, Vonzóbb/modernebb értékesítési pontok, Közösségi funkciók, Hűségprogram, pontgyűjtés</t>
  </si>
  <si>
    <t>ID_080</t>
  </si>
  <si>
    <t>Könnyű játék, Családi hagyomány, Unatkozás</t>
  </si>
  <si>
    <t>ID_081</t>
  </si>
  <si>
    <t>Digitális sorsolás, Vonzóbb/modernebb értékesítési pontok, Valós idejű értesítések</t>
  </si>
  <si>
    <t>ID_082</t>
  </si>
  <si>
    <t>Családi hagyomány, Hagyományos, Izgalom</t>
  </si>
  <si>
    <t>ID_083</t>
  </si>
  <si>
    <t>ID_084</t>
  </si>
  <si>
    <t>Izgalom, Könnyű játék</t>
  </si>
  <si>
    <t>ID_085</t>
  </si>
  <si>
    <t>Közösségi funkciók, Kisebb, gyakoribb nyeremények, Valós idejű értesítések</t>
  </si>
  <si>
    <t>ID_086</t>
  </si>
  <si>
    <t>Unatkozás, Hagyományos</t>
  </si>
  <si>
    <t>Vonzóbb/modernebb értékesítési pontok, VR/AR technológiák, Kisebb, gyakoribb nyeremények, Egyedi, limitált kiadású szelvénydizájnok, Hűségprogram, pontgyűjtés</t>
  </si>
  <si>
    <t>ID_087</t>
  </si>
  <si>
    <t>Esetleges pénzforrás, Izgalom, Unatkozás</t>
  </si>
  <si>
    <t>Interaktív online szelvénykitöltő felület, Egyedi, limitált kiadású szelvénydizájnok, VR/AR technológiák</t>
  </si>
  <si>
    <t>ID_088</t>
  </si>
  <si>
    <t>ID_089</t>
  </si>
  <si>
    <t>Hagyományos, Unatkozás, Nagy nyeremények</t>
  </si>
  <si>
    <t>ID_090</t>
  </si>
  <si>
    <t>Kisebb, gyakoribb nyeremények, Gyors, egyszerű nyereményfelvétel digitális úton, VR/AR technológiák, Valós idejű értesítések</t>
  </si>
  <si>
    <t>ID_091</t>
  </si>
  <si>
    <t>ID_092</t>
  </si>
  <si>
    <t>Hűségprogram, pontgyűjtés, Egyedi, limitált kiadású szelvénydizájnok, Valós idejű értesítések, Interaktív online szelvénykitöltő felület, Vonzóbb/modernebb értékesítési pontok</t>
  </si>
  <si>
    <t>ID_093</t>
  </si>
  <si>
    <t>ID_094</t>
  </si>
  <si>
    <t>Interaktív online szelvénykitöltő felület, Valós idejű értesítések, Egyedi, limitált kiadású szelvénydizájnok, Gyors, egyszerű nyereményfelvétel digitális úton, Vonzóbb/modernebb értékesítési pontok</t>
  </si>
  <si>
    <t>ID_095</t>
  </si>
  <si>
    <t>Nagy nyeremények, Unatkozás</t>
  </si>
  <si>
    <t>Hűségprogram, pontgyűjtés, Egyedi, limitált kiadású szelvénydizájnok, Gyors, egyszerű nyereményfelvétel digitális úton, Kisebb, gyakoribb nyeremények, Valós idejű értesítések</t>
  </si>
  <si>
    <t>ID_096</t>
  </si>
  <si>
    <t>Hűségprogram, pontgyűjtés, Közösségi funkciók, Interaktív online szelvénykitöltő felület, Valós idejű értesítések, Vonzóbb/modernebb értékesítési pontok</t>
  </si>
  <si>
    <t>ID_097</t>
  </si>
  <si>
    <t>Unatkozás, Izgalom, Családi hagyomány</t>
  </si>
  <si>
    <t>Valós idejű értesítések, Közösségi funkciók, Hűségprogram, pontgyűjtés</t>
  </si>
  <si>
    <t>Row Labels</t>
  </si>
  <si>
    <t>(blank)</t>
  </si>
  <si>
    <t>Grand Total</t>
  </si>
  <si>
    <t>Count of Válaszadó ID</t>
  </si>
  <si>
    <t>Egyetlen változtatási javaslat</t>
  </si>
  <si>
    <t>kulcsszavak</t>
  </si>
  <si>
    <t>átlagok</t>
  </si>
  <si>
    <t>szám</t>
  </si>
  <si>
    <t>Sorcímkék</t>
  </si>
  <si>
    <t>Végösszeg</t>
  </si>
  <si>
    <t>Count of szám</t>
  </si>
  <si>
    <t>miért szerencsejátékozik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</si>
</sst>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janna" refreshedDate="46136.803481365743" createdVersion="8" refreshedVersion="8" minRefreshableVersion="3" recordCount="98" xr:uid="{BD60D27B-0FB0-4ECA-BD07-30E7173420FE}">
  <cacheSource type="worksheet">
    <worksheetSource ref="A1:X99" sheet="Sheet1"/>
  </cacheSource>
  <cacheFields count="24">
    <cacheField name="Válaszadó ID" numFmtId="0">
      <sharedItems containsBlank="1"/>
    </cacheField>
    <cacheField name="Korosztály" numFmtId="0">
      <sharedItems containsBlank="1" count="4">
        <s v="24-25 éves"/>
        <s v="18-20 éves"/>
        <s v="21-23 éves"/>
        <m/>
      </sharedItems>
    </cacheField>
    <cacheField name="Játék gyakorisága" numFmtId="0">
      <sharedItems containsBlank="1" count="6">
        <s v="Nagyon ritkán (évente egyszer)"/>
        <s v="Soha"/>
        <s v="Ritkán (néhány havonta)"/>
        <s v="Alkalmanként (havonta 1-2 alkalommal)"/>
        <s v="Gyakran (hetente/kéthetente)"/>
        <m/>
      </sharedItems>
    </cacheField>
    <cacheField name="Általános vélemény (1-10)" numFmtId="0">
      <sharedItems containsSemiMixedTypes="0" containsString="0" containsNumber="1" minValue="2" maxValue="8"/>
    </cacheField>
    <cacheField name="Társított kulcsszavak" numFmtId="0">
      <sharedItems containsBlank="1"/>
    </cacheField>
    <cacheField name="Utolsó szelvény beszerzése" numFmtId="0">
      <sharedItems containsBlank="1" count="5">
        <s v="Online/applikáción keresztül"/>
        <s v="Nem játszottam még"/>
        <s v="Fizikai lottózó/újságos/bolt"/>
        <s v="Családtag vett nekem"/>
        <m/>
      </sharedItems>
    </cacheField>
    <cacheField name="Állítás: Esélyek irreálisan alacsonyak (1-5)" numFmtId="0">
      <sharedItems containsSemiMixedTypes="0" containsString="0" containsNumber="1" minValue="3" maxValue="5"/>
    </cacheField>
    <cacheField name="Állítás: Régi generációk játéka (1-5)" numFmtId="0">
      <sharedItems containsSemiMixedTypes="0" containsString="0" containsNumber="1" minValue="3" maxValue="5"/>
    </cacheField>
    <cacheField name="Állítás: Társadalmi élmény (1-5)" numFmtId="0">
      <sharedItems containsSemiMixedTypes="0" containsString="0" containsNumber="1" minValue="1" maxValue="3"/>
    </cacheField>
    <cacheField name="Állítás: Megéri az árát (1-5)" numFmtId="0">
      <sharedItems containsSemiMixedTypes="0" containsString="0" containsNumber="1" minValue="1" maxValue="4"/>
    </cacheField>
    <cacheField name="Állítás: Modern technológia fontossága (1-5)" numFmtId="0">
      <sharedItems containsSemiMixedTypes="0" containsString="0" containsNumber="1" minValue="4" maxValue="5"/>
    </cacheField>
    <cacheField name="Játékélmény jelentése" numFmtId="0">
      <sharedItems containsBlank="1" count="11">
        <s v="A lottózók szaga jut eszembe róla."/>
        <s v="Semmit nem jelent, pénzkidobás."/>
        <s v="Egy kis adrenalin, hátha bejön."/>
        <s v="A remény, hogy egyszer megváltozik az életem."/>
        <s v="Izgalmas várni a számokat szombat este."/>
        <s v="Digitálisan egész jó, de papíron macera."/>
        <s v="Unalmas, eljárt felette az idő."/>
        <s v="Csak egy felesleges adó azoknak, akik nem tudnak számolni."/>
        <s v="Családi program, anyukámmal szoktunk játszani."/>
        <s v="Néha veszek egyet, ha nagy a jackpot."/>
        <m/>
      </sharedItems>
    </cacheField>
    <cacheField name="Kívánt fejlesztések (Top 5 választék)" numFmtId="0">
      <sharedItems containsBlank="1"/>
    </cacheField>
    <cacheField name="Fázis vonzereje: Termék (1-5)" numFmtId="0">
      <sharedItems containsSemiMixedTypes="0" containsString="0" containsNumber="1" minValue="1" maxValue="5"/>
    </cacheField>
    <cacheField name="Fázis vonzereje: Csatornák (1-5)" numFmtId="0">
      <sharedItems containsSemiMixedTypes="0" containsString="0" containsNumber="1" minValue="1" maxValue="5"/>
    </cacheField>
    <cacheField name="Fázis vonzereje: Sorsolás (1-5)" numFmtId="0">
      <sharedItems containsSemiMixedTypes="0" containsString="0" containsNumber="1" minValue="1" maxValue="5"/>
    </cacheField>
    <cacheField name="Fázis vonzereje: Kifizetés (1-5)" numFmtId="0">
      <sharedItems containsSemiMixedTypes="0" containsString="0" containsNumber="1" minValue="1" maxValue="5"/>
    </cacheField>
    <cacheField name="Egyetlen változtatás javaslata" numFmtId="0">
      <sharedItems containsBlank="1" count="11">
        <s v="Modern applikáció, ami nem akad le."/>
        <s v="Ne kelljen lottózóba menni a nyereményért."/>
        <s v="Legyen minden online és azonnali."/>
        <s v="Átláthatóbb sorsolási folyamat."/>
        <s v="Több esély kisebb összegekre."/>
        <s v="Ingyen szelvény minden 10. után."/>
        <s v="Lehessen Revoluttal vagy Apple Pay-jel fizetni mindenhol."/>
        <s v="Legyen menőbb az imidzs."/>
        <s v="Közösségi lottózás barátokkal az appban."/>
        <s v="Zöld célok támogatása minden szelvény után."/>
        <m/>
      </sharedItems>
    </cacheField>
    <cacheField name="2030 Javaslat: Mobilapp fókusz" numFmtId="0">
      <sharedItems containsSemiMixedTypes="0" containsString="0" containsNumber="1" minValue="4" maxValue="5"/>
    </cacheField>
    <cacheField name="2030 Javaslat: Modern marketing" numFmtId="0">
      <sharedItems containsSemiMixedTypes="0" containsString="0" containsNumber="1" minValue="3" maxValue="5"/>
    </cacheField>
    <cacheField name="2030 Javaslat: Digitális partnerségek" numFmtId="0">
      <sharedItems containsSemiMixedTypes="0" containsString="0" containsNumber="1" minValue="4" maxValue="5"/>
    </cacheField>
    <cacheField name="2030 Javaslat: Fesztivál akciók" numFmtId="0">
      <sharedItems containsSemiMixedTypes="0" containsString="0" containsNumber="1" minValue="3" maxValue="5"/>
    </cacheField>
    <cacheField name="2030 Javaslat: Gyors digitális kifizetés" numFmtId="0">
      <sharedItems containsSemiMixedTypes="0" containsString="0" containsNumber="1" minValue="4" maxValue="5"/>
    </cacheField>
    <cacheField name="Támogatási hajlandóság zöld/sturtup célokra" numFmtId="0">
      <sharedItems containsSemiMixedTypes="0" containsString="0" containsNumber="1" minValue="3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janna" refreshedDate="46136.812880671299" createdVersion="8" refreshedVersion="8" minRefreshableVersion="3" recordCount="188" xr:uid="{E414D6AF-6673-4F1D-81A3-0AE81A9F67CB}">
  <cacheSource type="worksheet">
    <worksheetSource ref="A1:F189" sheet="Sheet3"/>
  </cacheSource>
  <cacheFields count="6">
    <cacheField name="Társított kulcsszavak" numFmtId="0">
      <sharedItems containsBlank="1"/>
    </cacheField>
    <cacheField name="Field2" caption="Field2" numFmtId="0">
      <sharedItems containsBlank="1"/>
    </cacheField>
    <cacheField name="Field3" caption="Field3" numFmtId="0">
      <sharedItems containsBlank="1"/>
    </cacheField>
    <cacheField name="Field4" caption="Field4" numFmtId="0">
      <sharedItems containsBlank="1"/>
    </cacheField>
    <cacheField name="szám" numFmtId="0">
      <sharedItems containsSemiMixedTypes="0" containsString="0" containsNumber="1" containsInteger="1" minValue="1" maxValue="188"/>
    </cacheField>
    <cacheField name="kulcsszavak" numFmtId="0">
      <sharedItems count="8">
        <s v="Esetleges pénzforrás"/>
        <s v="Nagy nyeremények"/>
        <s v="Régimódi"/>
        <s v="Unatkozás"/>
        <s v="Izgalom"/>
        <s v="Könnyű játék"/>
        <s v="Családi hagyomány"/>
        <s v="Hagyományo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s v="ID_001"/>
    <x v="0"/>
    <x v="0"/>
    <n v="8"/>
    <s v="Esetleges pénzforrás"/>
    <x v="0"/>
    <n v="4"/>
    <n v="5"/>
    <n v="2"/>
    <n v="4"/>
    <n v="4"/>
    <x v="0"/>
    <s v="Kisebb, gyakoribb nyeremények, Digitális sorsolás, VR/AR technológiák, Hűségprogram, pontgyűjtés"/>
    <n v="2"/>
    <n v="2"/>
    <n v="5"/>
    <n v="5"/>
    <x v="0"/>
    <n v="4"/>
    <n v="5"/>
    <n v="5"/>
    <n v="5"/>
    <n v="5"/>
    <n v="4"/>
  </r>
  <r>
    <s v="ID_002"/>
    <x v="1"/>
    <x v="1"/>
    <n v="4"/>
    <s v="Nagy nyeremények, Izgalom, Régimódi"/>
    <x v="1"/>
    <n v="5"/>
    <n v="4"/>
    <n v="2"/>
    <n v="2"/>
    <n v="4"/>
    <x v="1"/>
    <s v="Gyors, egyszerű nyereményfelvétel digitális úton, Vonzóbb/modernebb értékesítési pontok, Hűségprogram, pontgyűjtés"/>
    <n v="1"/>
    <n v="4"/>
    <n v="2"/>
    <n v="4"/>
    <x v="1"/>
    <n v="4"/>
    <n v="5"/>
    <n v="5"/>
    <n v="5"/>
    <n v="5"/>
    <n v="3"/>
  </r>
  <r>
    <s v="ID_003"/>
    <x v="0"/>
    <x v="0"/>
    <n v="6"/>
    <s v="Régimódi, Hagyományos, Unatkozás"/>
    <x v="2"/>
    <n v="4"/>
    <n v="4"/>
    <n v="1"/>
    <n v="4"/>
    <n v="5"/>
    <x v="0"/>
    <s v="Egyedi, limitált kiadású szelvénydizájnok, Valós idejű értesítések"/>
    <n v="5"/>
    <n v="1"/>
    <n v="3"/>
    <n v="1"/>
    <x v="2"/>
    <n v="4"/>
    <n v="5"/>
    <n v="4"/>
    <n v="4"/>
    <n v="4"/>
    <n v="4"/>
  </r>
  <r>
    <s v="ID_004"/>
    <x v="1"/>
    <x v="1"/>
    <n v="4"/>
    <s v="Esetleges pénzforrás"/>
    <x v="1"/>
    <n v="4"/>
    <n v="5"/>
    <n v="3"/>
    <n v="4"/>
    <n v="5"/>
    <x v="2"/>
    <s v="Vonzóbb/modernebb értékesítési pontok, Interaktív online szelvénykitöltő felület"/>
    <n v="1"/>
    <n v="4"/>
    <n v="3"/>
    <n v="4"/>
    <x v="2"/>
    <n v="5"/>
    <n v="5"/>
    <n v="4"/>
    <n v="4"/>
    <n v="4"/>
    <n v="3"/>
  </r>
  <r>
    <s v="ID_005"/>
    <x v="1"/>
    <x v="0"/>
    <n v="4"/>
    <s v="Unatkozás"/>
    <x v="2"/>
    <n v="5"/>
    <n v="5"/>
    <n v="3"/>
    <n v="1"/>
    <n v="4"/>
    <x v="3"/>
    <s v="Kisebb, gyakoribb nyeremények, Egyedi, limitált kiadású szelvénydizájnok, Valós idejű értesítések, Interaktív online szelvénykitöltő felület, Közösségi funkciók"/>
    <n v="4"/>
    <n v="5"/>
    <n v="1"/>
    <n v="5"/>
    <x v="3"/>
    <n v="5"/>
    <n v="3"/>
    <n v="4"/>
    <n v="4"/>
    <n v="4"/>
    <n v="3"/>
  </r>
  <r>
    <s v="ID_006"/>
    <x v="2"/>
    <x v="2"/>
    <n v="7"/>
    <s v="Régimódi, Izgalom"/>
    <x v="3"/>
    <n v="3"/>
    <n v="5"/>
    <n v="2"/>
    <n v="4"/>
    <n v="4"/>
    <x v="4"/>
    <s v="Gyors, egyszerű nyereményfelvétel digitális úton, VR/AR technológiák, Kisebb, gyakoribb nyeremények, Vonzóbb/modernebb értékesítési pontok, Valós idejű értesítések"/>
    <n v="2"/>
    <n v="1"/>
    <n v="4"/>
    <n v="5"/>
    <x v="1"/>
    <n v="5"/>
    <n v="5"/>
    <n v="5"/>
    <n v="3"/>
    <n v="4"/>
    <n v="5"/>
  </r>
  <r>
    <s v="ID_007"/>
    <x v="0"/>
    <x v="2"/>
    <n v="5"/>
    <s v="Izgalom, Hagyományos, Könnyű játék"/>
    <x v="3"/>
    <n v="5"/>
    <n v="3"/>
    <n v="3"/>
    <n v="2"/>
    <n v="4"/>
    <x v="5"/>
    <s v="Valós idejű értesítések, Egyedi, limitált kiadású szelvénydizájnok"/>
    <n v="2"/>
    <n v="5"/>
    <n v="2"/>
    <n v="3"/>
    <x v="2"/>
    <n v="4"/>
    <n v="5"/>
    <n v="5"/>
    <n v="5"/>
    <n v="5"/>
    <n v="3"/>
  </r>
  <r>
    <s v="ID_008"/>
    <x v="1"/>
    <x v="1"/>
    <n v="5"/>
    <s v="Könnyű játék, Izgalom, Unatkozás"/>
    <x v="1"/>
    <n v="5"/>
    <n v="4"/>
    <n v="3"/>
    <n v="2"/>
    <n v="5"/>
    <x v="6"/>
    <s v="Gyors, egyszerű nyereményfelvétel digitális úton"/>
    <n v="3"/>
    <n v="5"/>
    <n v="2"/>
    <n v="2"/>
    <x v="4"/>
    <n v="4"/>
    <n v="3"/>
    <n v="5"/>
    <n v="3"/>
    <n v="5"/>
    <n v="3"/>
  </r>
  <r>
    <s v="ID_009"/>
    <x v="2"/>
    <x v="0"/>
    <n v="4"/>
    <s v="Esetleges pénzforrás"/>
    <x v="0"/>
    <n v="4"/>
    <n v="5"/>
    <n v="1"/>
    <n v="3"/>
    <n v="4"/>
    <x v="7"/>
    <s v="Hűségprogram, pontgyűjtés, Gyors, egyszerű nyereményfelvétel digitális úton, Vonzóbb/modernebb értékesítési pontok"/>
    <n v="3"/>
    <n v="2"/>
    <n v="4"/>
    <n v="1"/>
    <x v="5"/>
    <n v="5"/>
    <n v="3"/>
    <n v="4"/>
    <n v="3"/>
    <n v="5"/>
    <n v="3"/>
  </r>
  <r>
    <s v="ID_010"/>
    <x v="1"/>
    <x v="0"/>
    <n v="5"/>
    <s v="Családi hagyomány"/>
    <x v="0"/>
    <n v="3"/>
    <n v="5"/>
    <n v="1"/>
    <n v="1"/>
    <n v="4"/>
    <x v="4"/>
    <s v="Kisebb, gyakoribb nyeremények, Közösségi funkciók, Egyedi, limitált kiadású szelvénydizájnok"/>
    <n v="3"/>
    <n v="2"/>
    <n v="4"/>
    <n v="2"/>
    <x v="1"/>
    <n v="4"/>
    <n v="3"/>
    <n v="5"/>
    <n v="4"/>
    <n v="5"/>
    <n v="4"/>
  </r>
  <r>
    <s v="ID_011"/>
    <x v="0"/>
    <x v="2"/>
    <n v="8"/>
    <s v="Izgalom"/>
    <x v="2"/>
    <n v="3"/>
    <n v="4"/>
    <n v="3"/>
    <n v="3"/>
    <n v="4"/>
    <x v="4"/>
    <s v="VR/AR technológiák, Kisebb, gyakoribb nyeremények, Gyors, egyszerű nyereményfelvétel digitális úton, Valós idejű értesítések"/>
    <n v="1"/>
    <n v="4"/>
    <n v="4"/>
    <n v="1"/>
    <x v="6"/>
    <n v="5"/>
    <n v="4"/>
    <n v="5"/>
    <n v="3"/>
    <n v="5"/>
    <n v="5"/>
  </r>
  <r>
    <s v="ID_012"/>
    <x v="1"/>
    <x v="0"/>
    <n v="5"/>
    <s v="Esetleges pénzforrás"/>
    <x v="2"/>
    <n v="5"/>
    <n v="4"/>
    <n v="3"/>
    <n v="1"/>
    <n v="4"/>
    <x v="4"/>
    <s v="Kisebb, gyakoribb nyeremények, Közösségi funkciók, Gyors, egyszerű nyereményfelvétel digitális úton, Vonzóbb/modernebb értékesítési pontok, Hűségprogram, pontgyűjtés"/>
    <n v="4"/>
    <n v="1"/>
    <n v="4"/>
    <n v="4"/>
    <x v="3"/>
    <n v="4"/>
    <n v="4"/>
    <n v="4"/>
    <n v="4"/>
    <n v="4"/>
    <n v="4"/>
  </r>
  <r>
    <s v="ID_013"/>
    <x v="2"/>
    <x v="1"/>
    <n v="3"/>
    <s v="Esetleges pénzforrás, Családi hagyomány"/>
    <x v="1"/>
    <n v="4"/>
    <n v="5"/>
    <n v="2"/>
    <n v="1"/>
    <n v="5"/>
    <x v="7"/>
    <s v="Gyors, egyszerű nyereményfelvétel digitális úton"/>
    <n v="2"/>
    <n v="2"/>
    <n v="5"/>
    <n v="4"/>
    <x v="7"/>
    <n v="4"/>
    <n v="3"/>
    <n v="5"/>
    <n v="5"/>
    <n v="4"/>
    <n v="5"/>
  </r>
  <r>
    <s v="ID_014"/>
    <x v="0"/>
    <x v="2"/>
    <n v="4"/>
    <s v="Nagy nyeremények, Esetleges pénzforrás"/>
    <x v="0"/>
    <n v="5"/>
    <n v="4"/>
    <n v="2"/>
    <n v="2"/>
    <n v="4"/>
    <x v="8"/>
    <s v="Kisebb, gyakoribb nyeremények, Hűségprogram, pontgyűjtés, Közösségi funkciók, Egyedi, limitált kiadású szelvénydizájnok"/>
    <n v="1"/>
    <n v="2"/>
    <n v="3"/>
    <n v="5"/>
    <x v="5"/>
    <n v="5"/>
    <n v="4"/>
    <n v="4"/>
    <n v="3"/>
    <n v="4"/>
    <n v="3"/>
  </r>
  <r>
    <s v="ID_015"/>
    <x v="0"/>
    <x v="3"/>
    <n v="4"/>
    <s v="Izgalom"/>
    <x v="2"/>
    <n v="4"/>
    <n v="3"/>
    <n v="1"/>
    <n v="1"/>
    <n v="5"/>
    <x v="0"/>
    <s v="Kisebb, gyakoribb nyeremények, Hűségprogram, pontgyűjtés, Vonzóbb/modernebb értékesítési pontok, Valós idejű értesítések"/>
    <n v="5"/>
    <n v="3"/>
    <n v="3"/>
    <n v="2"/>
    <x v="4"/>
    <n v="5"/>
    <n v="3"/>
    <n v="4"/>
    <n v="3"/>
    <n v="4"/>
    <n v="3"/>
  </r>
  <r>
    <s v="ID_016"/>
    <x v="0"/>
    <x v="2"/>
    <n v="6"/>
    <s v="Családi hagyomány"/>
    <x v="2"/>
    <n v="3"/>
    <n v="5"/>
    <n v="2"/>
    <n v="2"/>
    <n v="5"/>
    <x v="8"/>
    <s v="Interaktív online szelvénykitöltő felület, VR/AR technológiák, Hűségprogram, pontgyűjtés"/>
    <n v="2"/>
    <n v="5"/>
    <n v="5"/>
    <n v="3"/>
    <x v="8"/>
    <n v="4"/>
    <n v="4"/>
    <n v="4"/>
    <n v="4"/>
    <n v="4"/>
    <n v="5"/>
  </r>
  <r>
    <s v="ID_017"/>
    <x v="2"/>
    <x v="2"/>
    <n v="7"/>
    <s v="Családi hagyomány, Unatkozás, Régimódi"/>
    <x v="0"/>
    <n v="3"/>
    <n v="5"/>
    <n v="1"/>
    <n v="4"/>
    <n v="4"/>
    <x v="9"/>
    <s v="Vonzóbb/modernebb értékesítési pontok, VR/AR technológiák, Gyors, egyszerű nyereményfelvétel digitális úton, Hűségprogram, pontgyűjtés"/>
    <n v="1"/>
    <n v="3"/>
    <n v="3"/>
    <n v="1"/>
    <x v="9"/>
    <n v="5"/>
    <n v="4"/>
    <n v="5"/>
    <n v="4"/>
    <n v="5"/>
    <n v="3"/>
  </r>
  <r>
    <s v="ID_018"/>
    <x v="1"/>
    <x v="3"/>
    <n v="3"/>
    <s v="Nagy nyeremények, Régimódi, Unatkozás"/>
    <x v="2"/>
    <n v="5"/>
    <n v="5"/>
    <n v="3"/>
    <n v="2"/>
    <n v="4"/>
    <x v="6"/>
    <s v="Hűségprogram, pontgyűjtés, Gyors, egyszerű nyereményfelvétel digitális úton"/>
    <n v="1"/>
    <n v="2"/>
    <n v="1"/>
    <n v="2"/>
    <x v="9"/>
    <n v="4"/>
    <n v="3"/>
    <n v="5"/>
    <n v="3"/>
    <n v="5"/>
    <n v="5"/>
  </r>
  <r>
    <s v="ID_019"/>
    <x v="1"/>
    <x v="2"/>
    <n v="6"/>
    <s v="Hagyományos"/>
    <x v="0"/>
    <n v="3"/>
    <n v="4"/>
    <n v="2"/>
    <n v="3"/>
    <n v="4"/>
    <x v="5"/>
    <s v="Hűségprogram, pontgyűjtés, Vonzóbb/modernebb értékesítési pontok, Interaktív online szelvénykitöltő felület"/>
    <n v="1"/>
    <n v="1"/>
    <n v="3"/>
    <n v="4"/>
    <x v="7"/>
    <n v="4"/>
    <n v="3"/>
    <n v="5"/>
    <n v="4"/>
    <n v="4"/>
    <n v="4"/>
  </r>
  <r>
    <s v="ID_020"/>
    <x v="0"/>
    <x v="4"/>
    <n v="4"/>
    <s v="Unatkozás, Esetleges pénzforrás, Családi hagyomány"/>
    <x v="0"/>
    <n v="4"/>
    <n v="5"/>
    <n v="3"/>
    <n v="1"/>
    <n v="5"/>
    <x v="9"/>
    <s v="Valós idejű értesítések, Interaktív online szelvénykitöltő felület, VR/AR technológiák, Kisebb, gyakoribb nyeremények"/>
    <n v="2"/>
    <n v="5"/>
    <n v="2"/>
    <n v="1"/>
    <x v="9"/>
    <n v="5"/>
    <n v="4"/>
    <n v="4"/>
    <n v="3"/>
    <n v="5"/>
    <n v="5"/>
  </r>
  <r>
    <s v="ID_021"/>
    <x v="2"/>
    <x v="0"/>
    <n v="4"/>
    <s v="Esetleges pénzforrás"/>
    <x v="3"/>
    <n v="5"/>
    <n v="4"/>
    <n v="3"/>
    <n v="1"/>
    <n v="4"/>
    <x v="2"/>
    <s v="Hűségprogram, pontgyűjtés, Közösségi funkciók, VR/AR technológiák, Valós idejű értesítések, Kisebb, gyakoribb nyeremények"/>
    <n v="5"/>
    <n v="2"/>
    <n v="5"/>
    <n v="2"/>
    <x v="9"/>
    <n v="5"/>
    <n v="3"/>
    <n v="4"/>
    <n v="4"/>
    <n v="4"/>
    <n v="5"/>
  </r>
  <r>
    <s v="ID_022"/>
    <x v="1"/>
    <x v="1"/>
    <n v="3"/>
    <s v="Unatkozás, Régimódi, Könnyű játék"/>
    <x v="1"/>
    <n v="4"/>
    <n v="4"/>
    <n v="3"/>
    <n v="2"/>
    <n v="5"/>
    <x v="0"/>
    <s v="VR/AR technológiák, Digitális sorsolás"/>
    <n v="2"/>
    <n v="1"/>
    <n v="5"/>
    <n v="2"/>
    <x v="3"/>
    <n v="5"/>
    <n v="4"/>
    <n v="4"/>
    <n v="3"/>
    <n v="5"/>
    <n v="3"/>
  </r>
  <r>
    <s v="ID_023"/>
    <x v="0"/>
    <x v="2"/>
    <n v="4"/>
    <s v="Izgalom"/>
    <x v="2"/>
    <n v="4"/>
    <n v="3"/>
    <n v="2"/>
    <n v="2"/>
    <n v="4"/>
    <x v="6"/>
    <s v="Valós idejű értesítések, Hűségprogram, pontgyűjtés, Digitális sorsolás, Gyors, egyszerű nyereményfelvétel digitális úton"/>
    <n v="3"/>
    <n v="5"/>
    <n v="3"/>
    <n v="4"/>
    <x v="6"/>
    <n v="4"/>
    <n v="3"/>
    <n v="4"/>
    <n v="4"/>
    <n v="5"/>
    <n v="4"/>
  </r>
  <r>
    <s v="ID_024"/>
    <x v="2"/>
    <x v="0"/>
    <n v="4"/>
    <s v="Unatkozás, Izgalom, Hagyományos"/>
    <x v="2"/>
    <n v="5"/>
    <n v="4"/>
    <n v="1"/>
    <n v="1"/>
    <n v="4"/>
    <x v="7"/>
    <s v="VR/AR technológiák, Hűségprogram, pontgyűjtés"/>
    <n v="3"/>
    <n v="3"/>
    <n v="2"/>
    <n v="3"/>
    <x v="6"/>
    <n v="4"/>
    <n v="3"/>
    <n v="4"/>
    <n v="5"/>
    <n v="4"/>
    <n v="5"/>
  </r>
  <r>
    <s v="ID_025"/>
    <x v="2"/>
    <x v="0"/>
    <n v="5"/>
    <s v="Unatkozás, Hagyományos, Könnyű játék"/>
    <x v="0"/>
    <n v="3"/>
    <n v="4"/>
    <n v="1"/>
    <n v="1"/>
    <n v="4"/>
    <x v="0"/>
    <s v="Valós idejű értesítések, Közösségi funkciók, Egyedi, limitált kiadású szelvénydizájnok"/>
    <n v="1"/>
    <n v="4"/>
    <n v="3"/>
    <n v="2"/>
    <x v="3"/>
    <n v="5"/>
    <n v="4"/>
    <n v="5"/>
    <n v="3"/>
    <n v="5"/>
    <n v="4"/>
  </r>
  <r>
    <s v="ID_026"/>
    <x v="2"/>
    <x v="0"/>
    <n v="4"/>
    <s v="Régimódi, Unatkozás"/>
    <x v="0"/>
    <n v="5"/>
    <n v="4"/>
    <n v="3"/>
    <n v="3"/>
    <n v="4"/>
    <x v="8"/>
    <s v="Interaktív online szelvénykitöltő felület, Kisebb, gyakoribb nyeremények, Közösségi funkciók"/>
    <n v="2"/>
    <n v="3"/>
    <n v="5"/>
    <n v="3"/>
    <x v="0"/>
    <n v="5"/>
    <n v="3"/>
    <n v="5"/>
    <n v="3"/>
    <n v="5"/>
    <n v="5"/>
  </r>
  <r>
    <s v="ID_027"/>
    <x v="2"/>
    <x v="2"/>
    <n v="7"/>
    <s v="Családi hagyomány, Könnyű játék, Izgalom"/>
    <x v="3"/>
    <n v="4"/>
    <n v="3"/>
    <n v="3"/>
    <n v="3"/>
    <n v="5"/>
    <x v="9"/>
    <s v="Gyors, egyszerű nyereményfelvétel digitális úton, Kisebb, gyakoribb nyeremények, Közösségi funkciók"/>
    <n v="2"/>
    <n v="3"/>
    <n v="5"/>
    <n v="2"/>
    <x v="8"/>
    <n v="5"/>
    <n v="4"/>
    <n v="5"/>
    <n v="3"/>
    <n v="5"/>
    <n v="3"/>
  </r>
  <r>
    <s v="ID_028"/>
    <x v="2"/>
    <x v="2"/>
    <n v="3"/>
    <s v="Családi hagyomány, Unatkozás"/>
    <x v="2"/>
    <n v="5"/>
    <n v="5"/>
    <n v="1"/>
    <n v="2"/>
    <n v="4"/>
    <x v="0"/>
    <s v="Valós idejű értesítések"/>
    <n v="1"/>
    <n v="3"/>
    <n v="2"/>
    <n v="1"/>
    <x v="1"/>
    <n v="4"/>
    <n v="3"/>
    <n v="5"/>
    <n v="3"/>
    <n v="5"/>
    <n v="4"/>
  </r>
  <r>
    <s v="ID_029"/>
    <x v="1"/>
    <x v="1"/>
    <n v="6"/>
    <s v="Unatkozás"/>
    <x v="1"/>
    <n v="5"/>
    <n v="4"/>
    <n v="3"/>
    <n v="1"/>
    <n v="5"/>
    <x v="3"/>
    <s v="VR/AR technológiák, Egyedi, limitált kiadású szelvénydizájnok, Gyors, egyszerű nyereményfelvétel digitális úton, Vonzóbb/modernebb értékesítési pontok, Digitális sorsolás"/>
    <n v="1"/>
    <n v="5"/>
    <n v="5"/>
    <n v="4"/>
    <x v="7"/>
    <n v="4"/>
    <n v="5"/>
    <n v="4"/>
    <n v="5"/>
    <n v="4"/>
    <n v="5"/>
  </r>
  <r>
    <s v="ID_030"/>
    <x v="2"/>
    <x v="1"/>
    <n v="7"/>
    <s v="Régimódi"/>
    <x v="1"/>
    <n v="5"/>
    <n v="4"/>
    <n v="2"/>
    <n v="2"/>
    <n v="4"/>
    <x v="1"/>
    <s v="Vonzóbb/modernebb értékesítési pontok"/>
    <n v="5"/>
    <n v="4"/>
    <n v="1"/>
    <n v="4"/>
    <x v="3"/>
    <n v="4"/>
    <n v="5"/>
    <n v="4"/>
    <n v="4"/>
    <n v="4"/>
    <n v="4"/>
  </r>
  <r>
    <s v="ID_031"/>
    <x v="1"/>
    <x v="2"/>
    <n v="3"/>
    <s v="Családi hagyomány, Unatkozás"/>
    <x v="2"/>
    <n v="4"/>
    <n v="4"/>
    <n v="2"/>
    <n v="2"/>
    <n v="5"/>
    <x v="0"/>
    <s v="Közösségi funkciók, Hűségprogram, pontgyűjtés, Kisebb, gyakoribb nyeremények"/>
    <n v="1"/>
    <n v="1"/>
    <n v="1"/>
    <n v="5"/>
    <x v="0"/>
    <n v="5"/>
    <n v="5"/>
    <n v="4"/>
    <n v="4"/>
    <n v="5"/>
    <n v="4"/>
  </r>
  <r>
    <s v="ID_032"/>
    <x v="1"/>
    <x v="0"/>
    <n v="5"/>
    <s v="Izgalom, Hagyományos"/>
    <x v="3"/>
    <n v="4"/>
    <n v="5"/>
    <n v="3"/>
    <n v="1"/>
    <n v="5"/>
    <x v="3"/>
    <s v="VR/AR technológiák, Hűségprogram, pontgyűjtés, Egyedi, limitált kiadású szelvénydizájnok, Közösségi funkciók, Interaktív online szelvénykitöltő felület"/>
    <n v="3"/>
    <n v="2"/>
    <n v="1"/>
    <n v="3"/>
    <x v="9"/>
    <n v="5"/>
    <n v="3"/>
    <n v="4"/>
    <n v="3"/>
    <n v="4"/>
    <n v="4"/>
  </r>
  <r>
    <s v="ID_033"/>
    <x v="2"/>
    <x v="0"/>
    <n v="6"/>
    <s v="Régimódi, Könnyű játék"/>
    <x v="2"/>
    <n v="3"/>
    <n v="3"/>
    <n v="2"/>
    <n v="1"/>
    <n v="4"/>
    <x v="8"/>
    <s v="Interaktív online szelvénykitöltő felület, Vonzóbb/modernebb értékesítési pontok, Digitális sorsolás, Valós idejű értesítések, Közösségi funkciók"/>
    <n v="3"/>
    <n v="1"/>
    <n v="4"/>
    <n v="5"/>
    <x v="4"/>
    <n v="4"/>
    <n v="4"/>
    <n v="5"/>
    <n v="3"/>
    <n v="4"/>
    <n v="5"/>
  </r>
  <r>
    <s v="ID_034"/>
    <x v="2"/>
    <x v="2"/>
    <n v="4"/>
    <s v="Családi hagyomány, Nagy nyeremények"/>
    <x v="3"/>
    <n v="5"/>
    <n v="4"/>
    <n v="1"/>
    <n v="4"/>
    <n v="4"/>
    <x v="4"/>
    <s v="Egyedi, limitált kiadású szelvénydizájnok, Interaktív online szelvénykitöltő felület, Vonzóbb/modernebb értékesítési pontok"/>
    <n v="3"/>
    <n v="1"/>
    <n v="2"/>
    <n v="1"/>
    <x v="8"/>
    <n v="5"/>
    <n v="4"/>
    <n v="5"/>
    <n v="5"/>
    <n v="4"/>
    <n v="5"/>
  </r>
  <r>
    <s v="ID_035"/>
    <x v="2"/>
    <x v="1"/>
    <n v="7"/>
    <s v="Családi hagyomány, Hagyományos"/>
    <x v="1"/>
    <n v="3"/>
    <n v="3"/>
    <n v="2"/>
    <n v="2"/>
    <n v="4"/>
    <x v="7"/>
    <s v="Kisebb, gyakoribb nyeremények, VR/AR technológiák"/>
    <n v="3"/>
    <n v="2"/>
    <n v="3"/>
    <n v="3"/>
    <x v="9"/>
    <n v="5"/>
    <n v="5"/>
    <n v="4"/>
    <n v="5"/>
    <n v="5"/>
    <n v="5"/>
  </r>
  <r>
    <s v="ID_036"/>
    <x v="1"/>
    <x v="0"/>
    <n v="6"/>
    <s v="Nagy nyeremények, Hagyományos"/>
    <x v="3"/>
    <n v="3"/>
    <n v="5"/>
    <n v="2"/>
    <n v="3"/>
    <n v="4"/>
    <x v="4"/>
    <s v="Digitális sorsolás"/>
    <n v="4"/>
    <n v="4"/>
    <n v="1"/>
    <n v="4"/>
    <x v="9"/>
    <n v="5"/>
    <n v="3"/>
    <n v="5"/>
    <n v="5"/>
    <n v="4"/>
    <n v="5"/>
  </r>
  <r>
    <s v="ID_037"/>
    <x v="0"/>
    <x v="0"/>
    <n v="6"/>
    <s v="Könnyű játék, Esetleges pénzforrás"/>
    <x v="0"/>
    <n v="5"/>
    <n v="4"/>
    <n v="2"/>
    <n v="1"/>
    <n v="4"/>
    <x v="8"/>
    <s v="Digitális sorsolás, Gyors, egyszerű nyereményfelvétel digitális úton, Vonzóbb/modernebb értékesítési pontok"/>
    <n v="3"/>
    <n v="1"/>
    <n v="4"/>
    <n v="1"/>
    <x v="9"/>
    <n v="4"/>
    <n v="5"/>
    <n v="4"/>
    <n v="4"/>
    <n v="5"/>
    <n v="5"/>
  </r>
  <r>
    <s v="ID_038"/>
    <x v="2"/>
    <x v="0"/>
    <n v="7"/>
    <s v="Régimódi, Könnyű játék"/>
    <x v="2"/>
    <n v="3"/>
    <n v="3"/>
    <n v="1"/>
    <n v="2"/>
    <n v="4"/>
    <x v="9"/>
    <s v="Hűségprogram, pontgyűjtés, Gyors, egyszerű nyereményfelvétel digitális úton, Kisebb, gyakoribb nyeremények, Valós idejű értesítések, Digitális sorsolás"/>
    <n v="4"/>
    <n v="2"/>
    <n v="2"/>
    <n v="2"/>
    <x v="2"/>
    <n v="4"/>
    <n v="5"/>
    <n v="4"/>
    <n v="3"/>
    <n v="4"/>
    <n v="4"/>
  </r>
  <r>
    <s v="ID_039"/>
    <x v="0"/>
    <x v="1"/>
    <n v="5"/>
    <s v="Hagyományos, Családi hagyomány, Régimódi"/>
    <x v="1"/>
    <n v="3"/>
    <n v="3"/>
    <n v="3"/>
    <n v="2"/>
    <n v="4"/>
    <x v="2"/>
    <s v="VR/AR technológiák"/>
    <n v="5"/>
    <n v="3"/>
    <n v="2"/>
    <n v="1"/>
    <x v="5"/>
    <n v="5"/>
    <n v="5"/>
    <n v="4"/>
    <n v="3"/>
    <n v="5"/>
    <n v="4"/>
  </r>
  <r>
    <s v="ID_040"/>
    <x v="1"/>
    <x v="1"/>
    <n v="6"/>
    <s v="Nagy nyeremények, Esetleges pénzforrás, Régimódi"/>
    <x v="1"/>
    <n v="3"/>
    <n v="4"/>
    <n v="3"/>
    <n v="3"/>
    <n v="4"/>
    <x v="0"/>
    <s v="Interaktív online szelvénykitöltő felület"/>
    <n v="2"/>
    <n v="1"/>
    <n v="2"/>
    <n v="5"/>
    <x v="5"/>
    <n v="5"/>
    <n v="3"/>
    <n v="4"/>
    <n v="5"/>
    <n v="4"/>
    <n v="4"/>
  </r>
  <r>
    <s v="ID_041"/>
    <x v="2"/>
    <x v="0"/>
    <n v="3"/>
    <s v="Könnyű játék, Hagyományos"/>
    <x v="2"/>
    <n v="5"/>
    <n v="4"/>
    <n v="1"/>
    <n v="2"/>
    <n v="4"/>
    <x v="6"/>
    <s v="Hűségprogram, pontgyűjtés, VR/AR technológiák, Gyors, egyszerű nyereményfelvétel digitális úton, Digitális sorsolás, Kisebb, gyakoribb nyeremények"/>
    <n v="5"/>
    <n v="2"/>
    <n v="2"/>
    <n v="4"/>
    <x v="3"/>
    <n v="4"/>
    <n v="3"/>
    <n v="4"/>
    <n v="5"/>
    <n v="4"/>
    <n v="5"/>
  </r>
  <r>
    <s v="ID_042"/>
    <x v="2"/>
    <x v="1"/>
    <n v="6"/>
    <s v="Könnyű játék"/>
    <x v="1"/>
    <n v="3"/>
    <n v="5"/>
    <n v="1"/>
    <n v="1"/>
    <n v="5"/>
    <x v="0"/>
    <s v="Gyors, egyszerű nyereményfelvétel digitális úton, Kisebb, gyakoribb nyeremények, Vonzóbb/modernebb értékesítési pontok, Egyedi, limitált kiadású szelvénydizájnok"/>
    <n v="2"/>
    <n v="2"/>
    <n v="4"/>
    <n v="2"/>
    <x v="7"/>
    <n v="4"/>
    <n v="4"/>
    <n v="4"/>
    <n v="5"/>
    <n v="4"/>
    <n v="5"/>
  </r>
  <r>
    <s v="ID_043"/>
    <x v="1"/>
    <x v="0"/>
    <n v="4"/>
    <s v="Unatkozás, Nagy nyeremények, Esetleges pénzforrás"/>
    <x v="0"/>
    <n v="5"/>
    <n v="5"/>
    <n v="2"/>
    <n v="3"/>
    <n v="5"/>
    <x v="5"/>
    <s v="Hűségprogram, pontgyűjtés, Közösségi funkciók, Vonzóbb/modernebb értékesítési pontok, Kisebb, gyakoribb nyeremények"/>
    <n v="4"/>
    <n v="2"/>
    <n v="2"/>
    <n v="5"/>
    <x v="7"/>
    <n v="4"/>
    <n v="3"/>
    <n v="5"/>
    <n v="5"/>
    <n v="5"/>
    <n v="5"/>
  </r>
  <r>
    <s v="ID_044"/>
    <x v="0"/>
    <x v="2"/>
    <n v="4"/>
    <s v="Unatkozás, Esetleges pénzforrás"/>
    <x v="2"/>
    <n v="5"/>
    <n v="5"/>
    <n v="3"/>
    <n v="1"/>
    <n v="4"/>
    <x v="0"/>
    <s v="Vonzóbb/modernebb értékesítési pontok, Interaktív online szelvénykitöltő felület, Gyors, egyszerű nyereményfelvétel digitális úton, Közösségi funkciók, Hűségprogram, pontgyűjtés"/>
    <n v="2"/>
    <n v="4"/>
    <n v="3"/>
    <n v="1"/>
    <x v="5"/>
    <n v="4"/>
    <n v="3"/>
    <n v="4"/>
    <n v="3"/>
    <n v="5"/>
    <n v="4"/>
  </r>
  <r>
    <s v="ID_045"/>
    <x v="1"/>
    <x v="2"/>
    <n v="5"/>
    <s v="Izgalom, Hagyományos, Családi hagyomány"/>
    <x v="0"/>
    <n v="4"/>
    <n v="4"/>
    <n v="2"/>
    <n v="3"/>
    <n v="5"/>
    <x v="3"/>
    <s v="Hűségprogram, pontgyűjtés, Gyors, egyszerű nyereményfelvétel digitális úton, Digitális sorsolás, VR/AR technológiák"/>
    <n v="2"/>
    <n v="2"/>
    <n v="5"/>
    <n v="5"/>
    <x v="6"/>
    <n v="5"/>
    <n v="3"/>
    <n v="5"/>
    <n v="3"/>
    <n v="5"/>
    <n v="5"/>
  </r>
  <r>
    <s v="ID_046"/>
    <x v="0"/>
    <x v="3"/>
    <n v="7"/>
    <s v="Könnyű játék, Családi hagyomány, Izgalom"/>
    <x v="2"/>
    <n v="5"/>
    <n v="5"/>
    <n v="1"/>
    <n v="3"/>
    <n v="4"/>
    <x v="7"/>
    <s v="Vonzóbb/modernebb értékesítési pontok, VR/AR technológiák, Gyors, egyszerű nyereményfelvétel digitális úton, Kisebb, gyakoribb nyeremények, Valós idejű értesítések"/>
    <n v="3"/>
    <n v="4"/>
    <n v="3"/>
    <n v="2"/>
    <x v="0"/>
    <n v="4"/>
    <n v="5"/>
    <n v="4"/>
    <n v="4"/>
    <n v="4"/>
    <n v="5"/>
  </r>
  <r>
    <s v="ID_047"/>
    <x v="1"/>
    <x v="1"/>
    <n v="5"/>
    <s v="Nagy nyeremények"/>
    <x v="1"/>
    <n v="5"/>
    <n v="5"/>
    <n v="2"/>
    <n v="4"/>
    <n v="4"/>
    <x v="2"/>
    <s v="Vonzóbb/modernebb értékesítési pontok, Interaktív online szelvénykitöltő felület"/>
    <n v="1"/>
    <n v="4"/>
    <n v="5"/>
    <n v="2"/>
    <x v="3"/>
    <n v="5"/>
    <n v="4"/>
    <n v="5"/>
    <n v="5"/>
    <n v="5"/>
    <n v="3"/>
  </r>
  <r>
    <s v="ID_048"/>
    <x v="1"/>
    <x v="0"/>
    <n v="3"/>
    <s v="Nagy nyeremények"/>
    <x v="2"/>
    <n v="4"/>
    <n v="5"/>
    <n v="3"/>
    <n v="1"/>
    <n v="4"/>
    <x v="5"/>
    <s v="Egyedi, limitált kiadású szelvénydizájnok, Vonzóbb/modernebb értékesítési pontok, Valós idejű értesítések, Hűségprogram, pontgyűjtés"/>
    <n v="3"/>
    <n v="4"/>
    <n v="2"/>
    <n v="1"/>
    <x v="0"/>
    <n v="4"/>
    <n v="3"/>
    <n v="5"/>
    <n v="3"/>
    <n v="4"/>
    <n v="5"/>
  </r>
  <r>
    <s v="ID_049"/>
    <x v="2"/>
    <x v="0"/>
    <n v="6"/>
    <s v="Izgalom"/>
    <x v="0"/>
    <n v="5"/>
    <n v="4"/>
    <n v="3"/>
    <n v="3"/>
    <n v="4"/>
    <x v="8"/>
    <s v="Kisebb, gyakoribb nyeremények, VR/AR technológiák, Egyedi, limitált kiadású szelvénydizájnok"/>
    <n v="4"/>
    <n v="2"/>
    <n v="2"/>
    <n v="4"/>
    <x v="9"/>
    <n v="4"/>
    <n v="3"/>
    <n v="5"/>
    <n v="4"/>
    <n v="4"/>
    <n v="4"/>
  </r>
  <r>
    <s v="ID_050"/>
    <x v="2"/>
    <x v="1"/>
    <n v="6"/>
    <s v="Családi hagyomány, Hagyományos"/>
    <x v="1"/>
    <n v="3"/>
    <n v="3"/>
    <n v="2"/>
    <n v="2"/>
    <n v="4"/>
    <x v="2"/>
    <s v="Valós idejű értesítések, Kisebb, gyakoribb nyeremények, VR/AR technológiák, Gyors, egyszerű nyereményfelvétel digitális úton, Interaktív online szelvénykitöltő felület"/>
    <n v="3"/>
    <n v="3"/>
    <n v="5"/>
    <n v="4"/>
    <x v="6"/>
    <n v="4"/>
    <n v="5"/>
    <n v="5"/>
    <n v="5"/>
    <n v="4"/>
    <n v="4"/>
  </r>
  <r>
    <s v="ID_051"/>
    <x v="2"/>
    <x v="3"/>
    <n v="5"/>
    <s v="Hagyományos, Családi hagyomány, Könnyű játék"/>
    <x v="2"/>
    <n v="5"/>
    <n v="5"/>
    <n v="1"/>
    <n v="4"/>
    <n v="5"/>
    <x v="2"/>
    <s v="Hűségprogram, pontgyűjtés, Vonzóbb/modernebb értékesítési pontok, Közösségi funkciók, Kisebb, gyakoribb nyeremények, Gyors, egyszerű nyereményfelvétel digitális úton"/>
    <n v="4"/>
    <n v="3"/>
    <n v="2"/>
    <n v="2"/>
    <x v="8"/>
    <n v="4"/>
    <n v="3"/>
    <n v="4"/>
    <n v="5"/>
    <n v="4"/>
    <n v="5"/>
  </r>
  <r>
    <s v="ID_052"/>
    <x v="2"/>
    <x v="1"/>
    <n v="4"/>
    <s v="Nagy nyeremények, Régimódi, Családi hagyomány"/>
    <x v="1"/>
    <n v="5"/>
    <n v="3"/>
    <n v="2"/>
    <n v="4"/>
    <n v="4"/>
    <x v="7"/>
    <s v="Kisebb, gyakoribb nyeremények, Hűségprogram, pontgyűjtés, Egyedi, limitált kiadású szelvénydizájnok, VR/AR technológiák, Gyors, egyszerű nyereményfelvétel digitális úton"/>
    <n v="5"/>
    <n v="2"/>
    <n v="4"/>
    <n v="3"/>
    <x v="0"/>
    <n v="5"/>
    <n v="4"/>
    <n v="4"/>
    <n v="3"/>
    <n v="4"/>
    <n v="5"/>
  </r>
  <r>
    <s v="ID_053"/>
    <x v="2"/>
    <x v="3"/>
    <n v="7"/>
    <s v="Könnyű játék, Unatkozás, Esetleges pénzforrás"/>
    <x v="3"/>
    <n v="4"/>
    <n v="5"/>
    <n v="3"/>
    <n v="1"/>
    <n v="4"/>
    <x v="6"/>
    <s v="VR/AR technológiák, Vonzóbb/modernebb értékesítési pontok, Gyors, egyszerű nyereményfelvétel digitális úton, Kisebb, gyakoribb nyeremények"/>
    <n v="1"/>
    <n v="5"/>
    <n v="2"/>
    <n v="1"/>
    <x v="7"/>
    <n v="5"/>
    <n v="3"/>
    <n v="4"/>
    <n v="4"/>
    <n v="5"/>
    <n v="5"/>
  </r>
  <r>
    <s v="ID_054"/>
    <x v="2"/>
    <x v="1"/>
    <n v="6"/>
    <s v="Nagy nyeremények, Könnyű játék"/>
    <x v="1"/>
    <n v="4"/>
    <n v="5"/>
    <n v="3"/>
    <n v="1"/>
    <n v="5"/>
    <x v="0"/>
    <s v="Vonzóbb/modernebb értékesítési pontok, Interaktív online szelvénykitöltő felület, Gyors, egyszerű nyereményfelvétel digitális úton, Hűségprogram, pontgyűjtés, Egyedi, limitált kiadású szelvénydizájnok"/>
    <n v="3"/>
    <n v="1"/>
    <n v="2"/>
    <n v="1"/>
    <x v="6"/>
    <n v="4"/>
    <n v="3"/>
    <n v="4"/>
    <n v="4"/>
    <n v="5"/>
    <n v="4"/>
  </r>
  <r>
    <s v="ID_055"/>
    <x v="2"/>
    <x v="1"/>
    <n v="6"/>
    <s v="Családi hagyomány"/>
    <x v="1"/>
    <n v="4"/>
    <n v="4"/>
    <n v="3"/>
    <n v="1"/>
    <n v="5"/>
    <x v="1"/>
    <s v="Valós idejű értesítések"/>
    <n v="1"/>
    <n v="2"/>
    <n v="2"/>
    <n v="3"/>
    <x v="7"/>
    <n v="5"/>
    <n v="3"/>
    <n v="5"/>
    <n v="3"/>
    <n v="4"/>
    <n v="4"/>
  </r>
  <r>
    <s v="ID_056"/>
    <x v="1"/>
    <x v="1"/>
    <n v="4"/>
    <s v="Hagyományos, Izgalom"/>
    <x v="1"/>
    <n v="4"/>
    <n v="5"/>
    <n v="3"/>
    <n v="2"/>
    <n v="5"/>
    <x v="8"/>
    <s v="VR/AR technológiák, Közösségi funkciók, Vonzóbb/modernebb értékesítési pontok"/>
    <n v="5"/>
    <n v="4"/>
    <n v="4"/>
    <n v="5"/>
    <x v="4"/>
    <n v="5"/>
    <n v="3"/>
    <n v="4"/>
    <n v="4"/>
    <n v="4"/>
    <n v="4"/>
  </r>
  <r>
    <s v="ID_057"/>
    <x v="2"/>
    <x v="1"/>
    <n v="5"/>
    <s v="Unatkozás"/>
    <x v="1"/>
    <n v="4"/>
    <n v="5"/>
    <n v="3"/>
    <n v="1"/>
    <n v="4"/>
    <x v="7"/>
    <s v="Közösségi funkciók"/>
    <n v="2"/>
    <n v="4"/>
    <n v="4"/>
    <n v="5"/>
    <x v="7"/>
    <n v="5"/>
    <n v="3"/>
    <n v="5"/>
    <n v="3"/>
    <n v="5"/>
    <n v="3"/>
  </r>
  <r>
    <s v="ID_058"/>
    <x v="1"/>
    <x v="0"/>
    <n v="6"/>
    <s v="Könnyű játék, Unatkozás, Hagyományos"/>
    <x v="3"/>
    <n v="3"/>
    <n v="5"/>
    <n v="1"/>
    <n v="3"/>
    <n v="4"/>
    <x v="9"/>
    <s v="Közösségi funkciók, VR/AR technológiák, Gyors, egyszerű nyereményfelvétel digitális úton, Kisebb, gyakoribb nyeremények, Hűségprogram, pontgyűjtés"/>
    <n v="2"/>
    <n v="3"/>
    <n v="3"/>
    <n v="4"/>
    <x v="3"/>
    <n v="4"/>
    <n v="3"/>
    <n v="4"/>
    <n v="5"/>
    <n v="5"/>
    <n v="5"/>
  </r>
  <r>
    <s v="ID_059"/>
    <x v="1"/>
    <x v="1"/>
    <n v="4"/>
    <s v="Régimódi, Izgalom"/>
    <x v="1"/>
    <n v="5"/>
    <n v="5"/>
    <n v="3"/>
    <n v="1"/>
    <n v="5"/>
    <x v="3"/>
    <s v="Egyedi, limitált kiadású szelvénydizájnok"/>
    <n v="5"/>
    <n v="2"/>
    <n v="4"/>
    <n v="3"/>
    <x v="4"/>
    <n v="5"/>
    <n v="4"/>
    <n v="4"/>
    <n v="3"/>
    <n v="5"/>
    <n v="5"/>
  </r>
  <r>
    <s v="ID_060"/>
    <x v="1"/>
    <x v="0"/>
    <n v="6"/>
    <s v="Családi hagyomány, Régimódi, Unatkozás"/>
    <x v="3"/>
    <n v="3"/>
    <n v="5"/>
    <n v="2"/>
    <n v="3"/>
    <n v="5"/>
    <x v="4"/>
    <s v="Egyedi, limitált kiadású szelvénydizájnok, Interaktív online szelvénykitöltő felület, Gyors, egyszerű nyereményfelvétel digitális úton, Hűségprogram, pontgyűjtés, Vonzóbb/modernebb értékesítési pontok"/>
    <n v="5"/>
    <n v="2"/>
    <n v="3"/>
    <n v="4"/>
    <x v="1"/>
    <n v="5"/>
    <n v="4"/>
    <n v="4"/>
    <n v="4"/>
    <n v="5"/>
    <n v="5"/>
  </r>
  <r>
    <s v="ID_061"/>
    <x v="1"/>
    <x v="0"/>
    <n v="4"/>
    <s v="Unatkozás"/>
    <x v="2"/>
    <n v="5"/>
    <n v="5"/>
    <n v="1"/>
    <n v="3"/>
    <n v="5"/>
    <x v="7"/>
    <s v="Digitális sorsolás, Interaktív online szelvénykitöltő felület, Kisebb, gyakoribb nyeremények, Valós idejű értesítések"/>
    <n v="2"/>
    <n v="3"/>
    <n v="1"/>
    <n v="5"/>
    <x v="0"/>
    <n v="4"/>
    <n v="5"/>
    <n v="5"/>
    <n v="3"/>
    <n v="5"/>
    <n v="5"/>
  </r>
  <r>
    <s v="ID_062"/>
    <x v="1"/>
    <x v="0"/>
    <n v="4"/>
    <s v="Esetleges pénzforrás, Családi hagyomány"/>
    <x v="0"/>
    <n v="4"/>
    <n v="5"/>
    <n v="2"/>
    <n v="3"/>
    <n v="5"/>
    <x v="2"/>
    <s v="Közösségi funkciók, VR/AR technológiák"/>
    <n v="2"/>
    <n v="2"/>
    <n v="3"/>
    <n v="2"/>
    <x v="2"/>
    <n v="5"/>
    <n v="3"/>
    <n v="4"/>
    <n v="5"/>
    <n v="4"/>
    <n v="4"/>
  </r>
  <r>
    <s v="ID_063"/>
    <x v="0"/>
    <x v="2"/>
    <n v="7"/>
    <s v="Unatkozás, Esetleges pénzforrás"/>
    <x v="0"/>
    <n v="4"/>
    <n v="5"/>
    <n v="2"/>
    <n v="4"/>
    <n v="4"/>
    <x v="5"/>
    <s v="Gyors, egyszerű nyereményfelvétel digitális úton"/>
    <n v="2"/>
    <n v="1"/>
    <n v="3"/>
    <n v="5"/>
    <x v="1"/>
    <n v="4"/>
    <n v="3"/>
    <n v="5"/>
    <n v="5"/>
    <n v="5"/>
    <n v="5"/>
  </r>
  <r>
    <s v="ID_064"/>
    <x v="2"/>
    <x v="0"/>
    <n v="5"/>
    <s v="Izgalom"/>
    <x v="0"/>
    <n v="5"/>
    <n v="3"/>
    <n v="3"/>
    <n v="4"/>
    <n v="5"/>
    <x v="1"/>
    <s v="Egyedi, limitált kiadású szelvénydizájnok"/>
    <n v="2"/>
    <n v="1"/>
    <n v="5"/>
    <n v="2"/>
    <x v="8"/>
    <n v="5"/>
    <n v="3"/>
    <n v="4"/>
    <n v="4"/>
    <n v="5"/>
    <n v="5"/>
  </r>
  <r>
    <s v="ID_065"/>
    <x v="1"/>
    <x v="1"/>
    <n v="5"/>
    <s v="Családi hagyomány, Hagyományos, Esetleges pénzforrás"/>
    <x v="1"/>
    <n v="3"/>
    <n v="4"/>
    <n v="2"/>
    <n v="1"/>
    <n v="4"/>
    <x v="4"/>
    <s v="Egyedi, limitált kiadású szelvénydizájnok, Vonzóbb/modernebb értékesítési pontok"/>
    <n v="1"/>
    <n v="2"/>
    <n v="1"/>
    <n v="1"/>
    <x v="9"/>
    <n v="5"/>
    <n v="3"/>
    <n v="5"/>
    <n v="4"/>
    <n v="4"/>
    <n v="4"/>
  </r>
  <r>
    <s v="ID_066"/>
    <x v="1"/>
    <x v="1"/>
    <n v="6"/>
    <s v="Esetleges pénzforrás, Izgalom"/>
    <x v="1"/>
    <n v="4"/>
    <n v="5"/>
    <n v="1"/>
    <n v="2"/>
    <n v="4"/>
    <x v="4"/>
    <s v="Kisebb, gyakoribb nyeremények, VR/AR technológiák, Valós idejű értesítések"/>
    <n v="3"/>
    <n v="2"/>
    <n v="1"/>
    <n v="1"/>
    <x v="0"/>
    <n v="5"/>
    <n v="4"/>
    <n v="4"/>
    <n v="3"/>
    <n v="5"/>
    <n v="3"/>
  </r>
  <r>
    <s v="ID_067"/>
    <x v="2"/>
    <x v="1"/>
    <n v="7"/>
    <s v="Nagy nyeremények"/>
    <x v="1"/>
    <n v="5"/>
    <n v="3"/>
    <n v="2"/>
    <n v="4"/>
    <n v="4"/>
    <x v="4"/>
    <s v="Közösségi funkciók"/>
    <n v="5"/>
    <n v="3"/>
    <n v="1"/>
    <n v="5"/>
    <x v="1"/>
    <n v="4"/>
    <n v="5"/>
    <n v="4"/>
    <n v="3"/>
    <n v="4"/>
    <n v="3"/>
  </r>
  <r>
    <s v="ID_068"/>
    <x v="1"/>
    <x v="0"/>
    <n v="3"/>
    <s v="Családi hagyomány, Nagy nyeremények, Hagyományos"/>
    <x v="0"/>
    <n v="4"/>
    <n v="5"/>
    <n v="1"/>
    <n v="1"/>
    <n v="4"/>
    <x v="2"/>
    <s v="Vonzóbb/modernebb értékesítési pontok, Gyors, egyszerű nyereményfelvétel digitális úton, Egyedi, limitált kiadású szelvénydizájnok, Interaktív online szelvénykitöltő felület, Digitális sorsolás"/>
    <n v="5"/>
    <n v="5"/>
    <n v="2"/>
    <n v="3"/>
    <x v="8"/>
    <n v="5"/>
    <n v="3"/>
    <n v="5"/>
    <n v="4"/>
    <n v="4"/>
    <n v="3"/>
  </r>
  <r>
    <s v="ID_069"/>
    <x v="0"/>
    <x v="1"/>
    <n v="8"/>
    <s v="Izgalom"/>
    <x v="1"/>
    <n v="5"/>
    <n v="5"/>
    <n v="1"/>
    <n v="2"/>
    <n v="4"/>
    <x v="3"/>
    <s v="Hűségprogram, pontgyűjtés, Gyors, egyszerű nyereményfelvétel digitális úton"/>
    <n v="1"/>
    <n v="5"/>
    <n v="5"/>
    <n v="1"/>
    <x v="9"/>
    <n v="4"/>
    <n v="5"/>
    <n v="4"/>
    <n v="3"/>
    <n v="4"/>
    <n v="5"/>
  </r>
  <r>
    <s v="ID_070"/>
    <x v="1"/>
    <x v="1"/>
    <n v="5"/>
    <s v="Családi hagyomány, Régimódi, Unatkozás"/>
    <x v="1"/>
    <n v="4"/>
    <n v="4"/>
    <n v="2"/>
    <n v="1"/>
    <n v="4"/>
    <x v="7"/>
    <s v="Vonzóbb/modernebb értékesítési pontok, VR/AR technológiák, Kisebb, gyakoribb nyeremények, Egyedi, limitált kiadású szelvénydizájnok"/>
    <n v="1"/>
    <n v="5"/>
    <n v="5"/>
    <n v="1"/>
    <x v="5"/>
    <n v="4"/>
    <n v="4"/>
    <n v="4"/>
    <n v="5"/>
    <n v="4"/>
    <n v="4"/>
  </r>
  <r>
    <s v="ID_071"/>
    <x v="2"/>
    <x v="0"/>
    <n v="3"/>
    <s v="Esetleges pénzforrás, Régimódi, Unatkozás"/>
    <x v="0"/>
    <n v="4"/>
    <n v="5"/>
    <n v="1"/>
    <n v="2"/>
    <n v="5"/>
    <x v="8"/>
    <s v="Közösségi funkciók, Kisebb, gyakoribb nyeremények"/>
    <n v="5"/>
    <n v="3"/>
    <n v="1"/>
    <n v="5"/>
    <x v="2"/>
    <n v="5"/>
    <n v="3"/>
    <n v="4"/>
    <n v="5"/>
    <n v="4"/>
    <n v="3"/>
  </r>
  <r>
    <s v="ID_072"/>
    <x v="0"/>
    <x v="3"/>
    <n v="4"/>
    <s v="Esetleges pénzforrás, Unatkozás"/>
    <x v="0"/>
    <n v="5"/>
    <n v="3"/>
    <n v="3"/>
    <n v="2"/>
    <n v="4"/>
    <x v="2"/>
    <s v="Egyedi, limitált kiadású szelvénydizájnok, Gyors, egyszerű nyereményfelvétel digitális úton"/>
    <n v="1"/>
    <n v="2"/>
    <n v="1"/>
    <n v="3"/>
    <x v="9"/>
    <n v="4"/>
    <n v="3"/>
    <n v="5"/>
    <n v="3"/>
    <n v="5"/>
    <n v="5"/>
  </r>
  <r>
    <s v="ID_073"/>
    <x v="2"/>
    <x v="0"/>
    <n v="4"/>
    <s v="Családi hagyomány, Hagyományos"/>
    <x v="0"/>
    <n v="5"/>
    <n v="5"/>
    <n v="2"/>
    <n v="2"/>
    <n v="5"/>
    <x v="0"/>
    <s v="Kisebb, gyakoribb nyeremények, Vonzóbb/modernebb értékesítési pontok, Digitális sorsolás, Közösségi funkciók, Egyedi, limitált kiadású szelvénydizájnok"/>
    <n v="2"/>
    <n v="4"/>
    <n v="2"/>
    <n v="3"/>
    <x v="6"/>
    <n v="5"/>
    <n v="3"/>
    <n v="4"/>
    <n v="3"/>
    <n v="5"/>
    <n v="4"/>
  </r>
  <r>
    <s v="ID_074"/>
    <x v="0"/>
    <x v="0"/>
    <n v="8"/>
    <s v="Könnyű játék"/>
    <x v="2"/>
    <n v="4"/>
    <n v="4"/>
    <n v="1"/>
    <n v="3"/>
    <n v="4"/>
    <x v="6"/>
    <s v="Gyors, egyszerű nyereményfelvétel digitális úton"/>
    <n v="2"/>
    <n v="3"/>
    <n v="2"/>
    <n v="1"/>
    <x v="3"/>
    <n v="5"/>
    <n v="5"/>
    <n v="5"/>
    <n v="5"/>
    <n v="4"/>
    <n v="5"/>
  </r>
  <r>
    <s v="ID_075"/>
    <x v="1"/>
    <x v="1"/>
    <n v="3"/>
    <s v="Nagy nyeremények"/>
    <x v="1"/>
    <n v="5"/>
    <n v="5"/>
    <n v="1"/>
    <n v="1"/>
    <n v="4"/>
    <x v="9"/>
    <s v="Egyedi, limitált kiadású szelvénydizájnok, Valós idejű értesítések, Gyors, egyszerű nyereményfelvétel digitális úton, Vonzóbb/modernebb értékesítési pontok"/>
    <n v="1"/>
    <n v="5"/>
    <n v="4"/>
    <n v="2"/>
    <x v="0"/>
    <n v="5"/>
    <n v="4"/>
    <n v="5"/>
    <n v="3"/>
    <n v="4"/>
    <n v="5"/>
  </r>
  <r>
    <s v="ID_076"/>
    <x v="0"/>
    <x v="2"/>
    <n v="6"/>
    <s v="Könnyű játék, Nagy nyeremények, Családi hagyomány"/>
    <x v="2"/>
    <n v="4"/>
    <n v="5"/>
    <n v="2"/>
    <n v="4"/>
    <n v="5"/>
    <x v="5"/>
    <s v="Interaktív online szelvénykitöltő felület, Valós idejű értesítések, Vonzóbb/modernebb értékesítési pontok, Gyors, egyszerű nyereményfelvétel digitális úton"/>
    <n v="4"/>
    <n v="3"/>
    <n v="5"/>
    <n v="2"/>
    <x v="7"/>
    <n v="4"/>
    <n v="4"/>
    <n v="4"/>
    <n v="5"/>
    <n v="4"/>
    <n v="4"/>
  </r>
  <r>
    <s v="ID_077"/>
    <x v="0"/>
    <x v="2"/>
    <n v="4"/>
    <s v="Izgalom, Nagy nyeremények"/>
    <x v="2"/>
    <n v="4"/>
    <n v="5"/>
    <n v="1"/>
    <n v="1"/>
    <n v="4"/>
    <x v="7"/>
    <s v="Kisebb, gyakoribb nyeremények, Digitális sorsolás, Valós idejű értesítések, Vonzóbb/modernebb értékesítési pontok, Interaktív online szelvénykitöltő felület"/>
    <n v="3"/>
    <n v="1"/>
    <n v="4"/>
    <n v="3"/>
    <x v="8"/>
    <n v="4"/>
    <n v="5"/>
    <n v="4"/>
    <n v="5"/>
    <n v="5"/>
    <n v="3"/>
  </r>
  <r>
    <s v="ID_078"/>
    <x v="2"/>
    <x v="0"/>
    <n v="4"/>
    <s v="Régimódi, Nagy nyeremények"/>
    <x v="3"/>
    <n v="4"/>
    <n v="3"/>
    <n v="2"/>
    <n v="1"/>
    <n v="4"/>
    <x v="4"/>
    <s v="Kisebb, gyakoribb nyeremények"/>
    <n v="5"/>
    <n v="5"/>
    <n v="5"/>
    <n v="2"/>
    <x v="1"/>
    <n v="5"/>
    <n v="4"/>
    <n v="5"/>
    <n v="5"/>
    <n v="4"/>
    <n v="5"/>
  </r>
  <r>
    <s v="ID_079"/>
    <x v="0"/>
    <x v="1"/>
    <n v="4"/>
    <s v="Hagyományos, Unatkozás"/>
    <x v="1"/>
    <n v="4"/>
    <n v="4"/>
    <n v="3"/>
    <n v="4"/>
    <n v="4"/>
    <x v="2"/>
    <s v="Kisebb, gyakoribb nyeremények, Interaktív online szelvénykitöltő felület, Vonzóbb/modernebb értékesítési pontok, Közösségi funkciók, Hűségprogram, pontgyűjtés"/>
    <n v="3"/>
    <n v="3"/>
    <n v="1"/>
    <n v="3"/>
    <x v="1"/>
    <n v="4"/>
    <n v="5"/>
    <n v="4"/>
    <n v="4"/>
    <n v="4"/>
    <n v="4"/>
  </r>
  <r>
    <s v="ID_080"/>
    <x v="1"/>
    <x v="0"/>
    <n v="5"/>
    <s v="Könnyű játék, Családi hagyomány, Unatkozás"/>
    <x v="0"/>
    <n v="5"/>
    <n v="4"/>
    <n v="1"/>
    <n v="3"/>
    <n v="5"/>
    <x v="9"/>
    <s v="Közösségi funkciók"/>
    <n v="4"/>
    <n v="2"/>
    <n v="4"/>
    <n v="1"/>
    <x v="6"/>
    <n v="4"/>
    <n v="4"/>
    <n v="5"/>
    <n v="3"/>
    <n v="5"/>
    <n v="4"/>
  </r>
  <r>
    <s v="ID_081"/>
    <x v="0"/>
    <x v="2"/>
    <n v="5"/>
    <s v="Könnyű játék"/>
    <x v="2"/>
    <n v="4"/>
    <n v="4"/>
    <n v="3"/>
    <n v="3"/>
    <n v="4"/>
    <x v="6"/>
    <s v="Digitális sorsolás, Vonzóbb/modernebb értékesítési pontok, Valós idejű értesítések"/>
    <n v="1"/>
    <n v="1"/>
    <n v="4"/>
    <n v="5"/>
    <x v="7"/>
    <n v="5"/>
    <n v="4"/>
    <n v="4"/>
    <n v="3"/>
    <n v="4"/>
    <n v="5"/>
  </r>
  <r>
    <s v="ID_082"/>
    <x v="2"/>
    <x v="2"/>
    <n v="7"/>
    <s v="Családi hagyomány, Hagyományos, Izgalom"/>
    <x v="0"/>
    <n v="3"/>
    <n v="3"/>
    <n v="1"/>
    <n v="3"/>
    <n v="4"/>
    <x v="6"/>
    <s v="Vonzóbb/modernebb értékesítési pontok"/>
    <n v="5"/>
    <n v="4"/>
    <n v="2"/>
    <n v="1"/>
    <x v="2"/>
    <n v="4"/>
    <n v="4"/>
    <n v="5"/>
    <n v="3"/>
    <n v="4"/>
    <n v="4"/>
  </r>
  <r>
    <s v="ID_083"/>
    <x v="0"/>
    <x v="2"/>
    <n v="4"/>
    <s v="Családi hagyomány"/>
    <x v="2"/>
    <n v="4"/>
    <n v="3"/>
    <n v="2"/>
    <n v="2"/>
    <n v="4"/>
    <x v="1"/>
    <s v="Közösségi funkciók"/>
    <n v="5"/>
    <n v="4"/>
    <n v="2"/>
    <n v="2"/>
    <x v="3"/>
    <n v="4"/>
    <n v="5"/>
    <n v="4"/>
    <n v="3"/>
    <n v="5"/>
    <n v="5"/>
  </r>
  <r>
    <s v="ID_084"/>
    <x v="2"/>
    <x v="0"/>
    <n v="3"/>
    <s v="Izgalom, Könnyű játék"/>
    <x v="2"/>
    <n v="5"/>
    <n v="3"/>
    <n v="1"/>
    <n v="2"/>
    <n v="4"/>
    <x v="8"/>
    <s v="VR/AR technológiák"/>
    <n v="5"/>
    <n v="5"/>
    <n v="5"/>
    <n v="1"/>
    <x v="4"/>
    <n v="4"/>
    <n v="4"/>
    <n v="5"/>
    <n v="4"/>
    <n v="4"/>
    <n v="5"/>
  </r>
  <r>
    <s v="ID_085"/>
    <x v="1"/>
    <x v="1"/>
    <n v="4"/>
    <s v="Hagyományos"/>
    <x v="1"/>
    <n v="4"/>
    <n v="5"/>
    <n v="2"/>
    <n v="2"/>
    <n v="5"/>
    <x v="8"/>
    <s v="Közösségi funkciók, Kisebb, gyakoribb nyeremények, Valós idejű értesítések"/>
    <n v="3"/>
    <n v="1"/>
    <n v="5"/>
    <n v="1"/>
    <x v="7"/>
    <n v="5"/>
    <n v="5"/>
    <n v="5"/>
    <n v="4"/>
    <n v="4"/>
    <n v="5"/>
  </r>
  <r>
    <s v="ID_086"/>
    <x v="2"/>
    <x v="1"/>
    <n v="5"/>
    <s v="Unatkozás, Hagyományos"/>
    <x v="1"/>
    <n v="3"/>
    <n v="4"/>
    <n v="2"/>
    <n v="4"/>
    <n v="4"/>
    <x v="9"/>
    <s v="Vonzóbb/modernebb értékesítési pontok, VR/AR technológiák, Kisebb, gyakoribb nyeremények, Egyedi, limitált kiadású szelvénydizájnok, Hűségprogram, pontgyűjtés"/>
    <n v="3"/>
    <n v="3"/>
    <n v="5"/>
    <n v="5"/>
    <x v="9"/>
    <n v="4"/>
    <n v="3"/>
    <n v="5"/>
    <n v="4"/>
    <n v="4"/>
    <n v="3"/>
  </r>
  <r>
    <s v="ID_087"/>
    <x v="2"/>
    <x v="0"/>
    <n v="7"/>
    <s v="Esetleges pénzforrás, Izgalom, Unatkozás"/>
    <x v="0"/>
    <n v="3"/>
    <n v="4"/>
    <n v="3"/>
    <n v="2"/>
    <n v="4"/>
    <x v="2"/>
    <s v="Interaktív online szelvénykitöltő felület, Egyedi, limitált kiadású szelvénydizájnok, VR/AR technológiák"/>
    <n v="2"/>
    <n v="2"/>
    <n v="1"/>
    <n v="3"/>
    <x v="7"/>
    <n v="5"/>
    <n v="4"/>
    <n v="5"/>
    <n v="3"/>
    <n v="5"/>
    <n v="5"/>
  </r>
  <r>
    <s v="ID_088"/>
    <x v="1"/>
    <x v="1"/>
    <n v="6"/>
    <s v="Hagyományos"/>
    <x v="1"/>
    <n v="3"/>
    <n v="5"/>
    <n v="2"/>
    <n v="1"/>
    <n v="5"/>
    <x v="3"/>
    <s v="VR/AR technológiák"/>
    <n v="3"/>
    <n v="1"/>
    <n v="5"/>
    <n v="5"/>
    <x v="6"/>
    <n v="5"/>
    <n v="5"/>
    <n v="4"/>
    <n v="3"/>
    <n v="5"/>
    <n v="3"/>
  </r>
  <r>
    <s v="ID_089"/>
    <x v="1"/>
    <x v="1"/>
    <n v="3"/>
    <s v="Hagyományos, Unatkozás, Nagy nyeremények"/>
    <x v="1"/>
    <n v="5"/>
    <n v="4"/>
    <n v="1"/>
    <n v="1"/>
    <n v="4"/>
    <x v="5"/>
    <s v="Egyedi, limitált kiadású szelvénydizájnok"/>
    <n v="5"/>
    <n v="5"/>
    <n v="3"/>
    <n v="3"/>
    <x v="1"/>
    <n v="5"/>
    <n v="3"/>
    <n v="4"/>
    <n v="4"/>
    <n v="5"/>
    <n v="5"/>
  </r>
  <r>
    <s v="ID_090"/>
    <x v="0"/>
    <x v="2"/>
    <n v="7"/>
    <s v="Könnyű játék"/>
    <x v="2"/>
    <n v="5"/>
    <n v="4"/>
    <n v="2"/>
    <n v="3"/>
    <n v="4"/>
    <x v="4"/>
    <s v="Kisebb, gyakoribb nyeremények, Gyors, egyszerű nyereményfelvétel digitális úton, VR/AR technológiák, Valós idejű értesítések"/>
    <n v="3"/>
    <n v="2"/>
    <n v="2"/>
    <n v="2"/>
    <x v="7"/>
    <n v="5"/>
    <n v="3"/>
    <n v="4"/>
    <n v="4"/>
    <n v="5"/>
    <n v="4"/>
  </r>
  <r>
    <s v="ID_091"/>
    <x v="0"/>
    <x v="0"/>
    <n v="6"/>
    <s v="Könnyű játék"/>
    <x v="2"/>
    <n v="3"/>
    <n v="5"/>
    <n v="3"/>
    <n v="2"/>
    <n v="4"/>
    <x v="2"/>
    <s v="VR/AR technológiák, Hűségprogram, pontgyűjtés"/>
    <n v="4"/>
    <n v="1"/>
    <n v="5"/>
    <n v="2"/>
    <x v="2"/>
    <n v="4"/>
    <n v="3"/>
    <n v="4"/>
    <n v="5"/>
    <n v="5"/>
    <n v="4"/>
  </r>
  <r>
    <s v="ID_092"/>
    <x v="2"/>
    <x v="2"/>
    <n v="3"/>
    <s v="Nagy nyeremények"/>
    <x v="2"/>
    <n v="4"/>
    <n v="5"/>
    <n v="3"/>
    <n v="2"/>
    <n v="5"/>
    <x v="5"/>
    <s v="Hűségprogram, pontgyűjtés, Egyedi, limitált kiadású szelvénydizájnok, Valós idejű értesítések, Interaktív online szelvénykitöltő felület, Vonzóbb/modernebb értékesítési pontok"/>
    <n v="5"/>
    <n v="4"/>
    <n v="2"/>
    <n v="4"/>
    <x v="4"/>
    <n v="4"/>
    <n v="5"/>
    <n v="4"/>
    <n v="4"/>
    <n v="4"/>
    <n v="5"/>
  </r>
  <r>
    <s v="ID_093"/>
    <x v="1"/>
    <x v="1"/>
    <n v="2"/>
    <s v="Könnyű játék"/>
    <x v="1"/>
    <n v="5"/>
    <n v="5"/>
    <n v="1"/>
    <n v="2"/>
    <n v="5"/>
    <x v="9"/>
    <s v="Közösségi funkciók"/>
    <n v="1"/>
    <n v="4"/>
    <n v="5"/>
    <n v="5"/>
    <x v="1"/>
    <n v="4"/>
    <n v="5"/>
    <n v="5"/>
    <n v="5"/>
    <n v="5"/>
    <n v="3"/>
  </r>
  <r>
    <s v="ID_094"/>
    <x v="2"/>
    <x v="1"/>
    <n v="5"/>
    <s v="Hagyományos"/>
    <x v="1"/>
    <n v="5"/>
    <n v="4"/>
    <n v="1"/>
    <n v="2"/>
    <n v="5"/>
    <x v="9"/>
    <s v="Interaktív online szelvénykitöltő felület, Valós idejű értesítések, Egyedi, limitált kiadású szelvénydizájnok, Gyors, egyszerű nyereményfelvétel digitális úton, Vonzóbb/modernebb értékesítési pontok"/>
    <n v="5"/>
    <n v="3"/>
    <n v="3"/>
    <n v="5"/>
    <x v="8"/>
    <n v="5"/>
    <n v="4"/>
    <n v="5"/>
    <n v="4"/>
    <n v="5"/>
    <n v="4"/>
  </r>
  <r>
    <s v="ID_095"/>
    <x v="2"/>
    <x v="0"/>
    <n v="3"/>
    <s v="Nagy nyeremények, Unatkozás"/>
    <x v="0"/>
    <n v="4"/>
    <n v="5"/>
    <n v="1"/>
    <n v="2"/>
    <n v="4"/>
    <x v="5"/>
    <s v="Hűségprogram, pontgyűjtés, Egyedi, limitált kiadású szelvénydizájnok, Gyors, egyszerű nyereményfelvétel digitális úton, Kisebb, gyakoribb nyeremények, Valós idejű értesítések"/>
    <n v="4"/>
    <n v="2"/>
    <n v="3"/>
    <n v="2"/>
    <x v="2"/>
    <n v="5"/>
    <n v="5"/>
    <n v="4"/>
    <n v="3"/>
    <n v="5"/>
    <n v="3"/>
  </r>
  <r>
    <s v="ID_096"/>
    <x v="1"/>
    <x v="2"/>
    <n v="4"/>
    <s v="Régimódi"/>
    <x v="2"/>
    <n v="5"/>
    <n v="4"/>
    <n v="2"/>
    <n v="1"/>
    <n v="4"/>
    <x v="3"/>
    <s v="Hűségprogram, pontgyűjtés, Közösségi funkciók, Interaktív online szelvénykitöltő felület, Valós idejű értesítések, Vonzóbb/modernebb értékesítési pontok"/>
    <n v="2"/>
    <n v="5"/>
    <n v="5"/>
    <n v="2"/>
    <x v="5"/>
    <n v="4"/>
    <n v="5"/>
    <n v="5"/>
    <n v="5"/>
    <n v="5"/>
    <n v="5"/>
  </r>
  <r>
    <s v="ID_097"/>
    <x v="2"/>
    <x v="0"/>
    <n v="4"/>
    <s v="Unatkozás, Izgalom, Családi hagyomány"/>
    <x v="3"/>
    <n v="5"/>
    <n v="5"/>
    <n v="2"/>
    <n v="3"/>
    <n v="4"/>
    <x v="1"/>
    <s v="Valós idejű értesítések, Közösségi funkciók, Hűségprogram, pontgyűjtés"/>
    <n v="3"/>
    <n v="3"/>
    <n v="3"/>
    <n v="1"/>
    <x v="2"/>
    <n v="4"/>
    <n v="5"/>
    <n v="4"/>
    <n v="5"/>
    <n v="5"/>
    <n v="5"/>
  </r>
  <r>
    <m/>
    <x v="3"/>
    <x v="5"/>
    <n v="4.9793814432989691"/>
    <m/>
    <x v="4"/>
    <n v="4.1649484536082477"/>
    <n v="4.2989690721649483"/>
    <n v="2.0206185567010309"/>
    <n v="2.2164948453608249"/>
    <n v="4.34020618556701"/>
    <x v="10"/>
    <m/>
    <n v="2.8556701030927836"/>
    <n v="2.8556701030927836"/>
    <n v="3.0927835051546393"/>
    <n v="2.8556701030927836"/>
    <x v="10"/>
    <n v="4.4948453608247423"/>
    <n v="3.8762886597938144"/>
    <n v="4.4432989690721651"/>
    <n v="3.9072164948453607"/>
    <n v="4.5051546391752577"/>
    <n v="4.226804123711340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">
  <r>
    <s v="Esetleges pénzforrás"/>
    <s v="Esetleges pénzforrás"/>
    <m/>
    <m/>
    <n v="1"/>
    <x v="0"/>
  </r>
  <r>
    <s v="Nagy nyeremények, Izgalom, Régimódi"/>
    <s v="Nagy nyeremények"/>
    <s v="Izgalom"/>
    <s v="Régimódi"/>
    <n v="2"/>
    <x v="1"/>
  </r>
  <r>
    <s v="Régimódi, Hagyományos, Unatkozás"/>
    <s v="Régimódi"/>
    <s v="Hagyományos"/>
    <s v="Unatkozás"/>
    <n v="3"/>
    <x v="2"/>
  </r>
  <r>
    <s v="Esetleges pénzforrás"/>
    <s v="Esetleges pénzforrás"/>
    <m/>
    <m/>
    <n v="4"/>
    <x v="0"/>
  </r>
  <r>
    <s v="Unatkozás"/>
    <s v="Unatkozás"/>
    <m/>
    <m/>
    <n v="5"/>
    <x v="3"/>
  </r>
  <r>
    <s v="Régimódi, Izgalom"/>
    <s v="Régimódi"/>
    <s v="Izgalom"/>
    <m/>
    <n v="6"/>
    <x v="2"/>
  </r>
  <r>
    <s v="Izgalom, Hagyományos, Könnyű játék"/>
    <s v="Izgalom"/>
    <s v="Hagyományos"/>
    <s v="Könnyű játék"/>
    <n v="7"/>
    <x v="4"/>
  </r>
  <r>
    <s v="Könnyű játék, Izgalom, Unatkozás"/>
    <s v="Könnyű játék"/>
    <s v="Izgalom"/>
    <s v="Unatkozás"/>
    <n v="8"/>
    <x v="5"/>
  </r>
  <r>
    <s v="Esetleges pénzforrás"/>
    <s v="Esetleges pénzforrás"/>
    <m/>
    <m/>
    <n v="9"/>
    <x v="0"/>
  </r>
  <r>
    <s v="Családi hagyomány"/>
    <s v="Családi hagyomány"/>
    <m/>
    <m/>
    <n v="10"/>
    <x v="6"/>
  </r>
  <r>
    <s v="Izgalom"/>
    <s v="Izgalom"/>
    <m/>
    <m/>
    <n v="11"/>
    <x v="4"/>
  </r>
  <r>
    <s v="Esetleges pénzforrás"/>
    <s v="Esetleges pénzforrás"/>
    <m/>
    <m/>
    <n v="12"/>
    <x v="0"/>
  </r>
  <r>
    <s v="Esetleges pénzforrás, Családi hagyomány"/>
    <s v="Esetleges pénzforrás"/>
    <s v="Családi hagyomány"/>
    <m/>
    <n v="13"/>
    <x v="0"/>
  </r>
  <r>
    <s v="Nagy nyeremények, Esetleges pénzforrás"/>
    <s v="Nagy nyeremények"/>
    <s v="Esetleges pénzforrás"/>
    <m/>
    <n v="14"/>
    <x v="1"/>
  </r>
  <r>
    <s v="Izgalom"/>
    <s v="Izgalom"/>
    <m/>
    <m/>
    <n v="15"/>
    <x v="4"/>
  </r>
  <r>
    <s v="Családi hagyomány"/>
    <s v="Családi hagyomány"/>
    <m/>
    <m/>
    <n v="16"/>
    <x v="6"/>
  </r>
  <r>
    <s v="Családi hagyomány, Unatkozás, Régimódi"/>
    <s v="Családi hagyomány"/>
    <s v="Unatkozás"/>
    <s v="Régimódi"/>
    <n v="17"/>
    <x v="6"/>
  </r>
  <r>
    <s v="Nagy nyeremények, Régimódi, Unatkozás"/>
    <s v="Nagy nyeremények"/>
    <s v="Régimódi"/>
    <s v="Unatkozás"/>
    <n v="18"/>
    <x v="1"/>
  </r>
  <r>
    <s v="Hagyományos"/>
    <s v="Hagyományos"/>
    <m/>
    <m/>
    <n v="19"/>
    <x v="7"/>
  </r>
  <r>
    <s v="Unatkozás, Esetleges pénzforrás, Családi hagyomány"/>
    <s v="Unatkozás"/>
    <s v="Esetleges pénzforrás"/>
    <s v="Családi hagyomány"/>
    <n v="20"/>
    <x v="3"/>
  </r>
  <r>
    <s v="Esetleges pénzforrás"/>
    <s v="Esetleges pénzforrás"/>
    <m/>
    <m/>
    <n v="21"/>
    <x v="0"/>
  </r>
  <r>
    <s v="Unatkozás, Régimódi, Könnyű játék"/>
    <s v="Unatkozás"/>
    <s v="Régimódi"/>
    <s v="Könnyű játék"/>
    <n v="22"/>
    <x v="3"/>
  </r>
  <r>
    <s v="Izgalom"/>
    <s v="Izgalom"/>
    <m/>
    <m/>
    <n v="23"/>
    <x v="4"/>
  </r>
  <r>
    <s v="Unatkozás, Izgalom, Hagyományos"/>
    <s v="Unatkozás"/>
    <s v="Izgalom"/>
    <s v="Hagyományos"/>
    <n v="24"/>
    <x v="3"/>
  </r>
  <r>
    <s v="Unatkozás, Hagyományos, Könnyű játék"/>
    <s v="Unatkozás"/>
    <s v="Hagyományos"/>
    <s v="Könnyű játék"/>
    <n v="25"/>
    <x v="3"/>
  </r>
  <r>
    <s v="Régimódi, Unatkozás"/>
    <s v="Régimódi"/>
    <s v="Unatkozás"/>
    <m/>
    <n v="26"/>
    <x v="2"/>
  </r>
  <r>
    <s v="Családi hagyomány, Könnyű játék, Izgalom"/>
    <s v="Családi hagyomány"/>
    <s v="Könnyű játék"/>
    <s v="Izgalom"/>
    <n v="27"/>
    <x v="6"/>
  </r>
  <r>
    <s v="Családi hagyomány, Unatkozás"/>
    <s v="Családi hagyomány"/>
    <s v="Unatkozás"/>
    <m/>
    <n v="28"/>
    <x v="6"/>
  </r>
  <r>
    <s v="Unatkozás"/>
    <s v="Unatkozás"/>
    <m/>
    <m/>
    <n v="29"/>
    <x v="3"/>
  </r>
  <r>
    <s v="Régimódi"/>
    <s v="Régimódi"/>
    <m/>
    <m/>
    <n v="30"/>
    <x v="2"/>
  </r>
  <r>
    <s v="Családi hagyomány, Unatkozás"/>
    <s v="Családi hagyomány"/>
    <s v="Unatkozás"/>
    <m/>
    <n v="31"/>
    <x v="6"/>
  </r>
  <r>
    <s v="Izgalom, Hagyományos"/>
    <s v="Izgalom"/>
    <s v="Hagyományos"/>
    <m/>
    <n v="32"/>
    <x v="4"/>
  </r>
  <r>
    <s v="Régimódi, Könnyű játék"/>
    <s v="Régimódi"/>
    <s v="Könnyű játék"/>
    <m/>
    <n v="33"/>
    <x v="2"/>
  </r>
  <r>
    <s v="Családi hagyomány, Nagy nyeremények"/>
    <s v="Családi hagyomány"/>
    <s v="Nagy nyeremények"/>
    <m/>
    <n v="34"/>
    <x v="6"/>
  </r>
  <r>
    <s v="Családi hagyomány, Hagyományos"/>
    <s v="Családi hagyomány"/>
    <s v="Hagyományos"/>
    <m/>
    <n v="35"/>
    <x v="6"/>
  </r>
  <r>
    <s v="Nagy nyeremények, Hagyományos"/>
    <s v="Nagy nyeremények"/>
    <s v="Hagyományos"/>
    <m/>
    <n v="36"/>
    <x v="1"/>
  </r>
  <r>
    <s v="Könnyű játék, Esetleges pénzforrás"/>
    <s v="Könnyű játék"/>
    <s v="Esetleges pénzforrás"/>
    <m/>
    <n v="37"/>
    <x v="5"/>
  </r>
  <r>
    <s v="Régimódi, Könnyű játék"/>
    <s v="Régimódi"/>
    <s v="Könnyű játék"/>
    <m/>
    <n v="38"/>
    <x v="2"/>
  </r>
  <r>
    <s v="Hagyományos, Családi hagyomány, Régimódi"/>
    <s v="Hagyományos"/>
    <s v="Családi hagyomány"/>
    <s v="Régimódi"/>
    <n v="39"/>
    <x v="7"/>
  </r>
  <r>
    <s v="Nagy nyeremények, Esetleges pénzforrás, Régimódi"/>
    <s v="Nagy nyeremények"/>
    <s v="Esetleges pénzforrás"/>
    <s v="Régimódi"/>
    <n v="40"/>
    <x v="1"/>
  </r>
  <r>
    <s v="Könnyű játék, Hagyományos"/>
    <s v="Könnyű játék"/>
    <s v="Hagyományos"/>
    <m/>
    <n v="41"/>
    <x v="5"/>
  </r>
  <r>
    <s v="Könnyű játék"/>
    <s v="Könnyű játék"/>
    <m/>
    <m/>
    <n v="42"/>
    <x v="5"/>
  </r>
  <r>
    <s v="Unatkozás, Nagy nyeremények, Esetleges pénzforrás"/>
    <s v="Unatkozás"/>
    <s v="Nagy nyeremények"/>
    <s v="Esetleges pénzforrás"/>
    <n v="43"/>
    <x v="3"/>
  </r>
  <r>
    <s v="Unatkozás, Esetleges pénzforrás"/>
    <s v="Unatkozás"/>
    <s v="Esetleges pénzforrás"/>
    <m/>
    <n v="44"/>
    <x v="3"/>
  </r>
  <r>
    <s v="Izgalom, Hagyományos, Családi hagyomány"/>
    <s v="Izgalom"/>
    <s v="Hagyományos"/>
    <s v="Családi hagyomány"/>
    <n v="45"/>
    <x v="4"/>
  </r>
  <r>
    <s v="Könnyű játék, Családi hagyomány, Izgalom"/>
    <s v="Könnyű játék"/>
    <s v="Családi hagyomány"/>
    <s v="Izgalom"/>
    <n v="46"/>
    <x v="5"/>
  </r>
  <r>
    <s v="Nagy nyeremények"/>
    <s v="Nagy nyeremények"/>
    <m/>
    <m/>
    <n v="47"/>
    <x v="1"/>
  </r>
  <r>
    <s v="Nagy nyeremények"/>
    <s v="Nagy nyeremények"/>
    <m/>
    <m/>
    <n v="48"/>
    <x v="1"/>
  </r>
  <r>
    <s v="Izgalom"/>
    <s v="Izgalom"/>
    <m/>
    <m/>
    <n v="49"/>
    <x v="4"/>
  </r>
  <r>
    <s v="Családi hagyomány, Hagyományos"/>
    <s v="Családi hagyomány"/>
    <s v="Hagyományos"/>
    <m/>
    <n v="50"/>
    <x v="6"/>
  </r>
  <r>
    <s v="Hagyományos, Családi hagyomány, Könnyű játék"/>
    <s v="Hagyományos"/>
    <s v="Családi hagyomány"/>
    <s v="Könnyű játék"/>
    <n v="51"/>
    <x v="7"/>
  </r>
  <r>
    <s v="Nagy nyeremények, Régimódi, Családi hagyomány"/>
    <s v="Nagy nyeremények"/>
    <s v="Régimódi"/>
    <s v="Családi hagyomány"/>
    <n v="52"/>
    <x v="1"/>
  </r>
  <r>
    <s v="Könnyű játék, Unatkozás, Esetleges pénzforrás"/>
    <s v="Könnyű játék"/>
    <s v="Unatkozás"/>
    <s v="Esetleges pénzforrás"/>
    <n v="53"/>
    <x v="5"/>
  </r>
  <r>
    <s v="Nagy nyeremények, Könnyű játék"/>
    <s v="Nagy nyeremények"/>
    <s v="Könnyű játék"/>
    <m/>
    <n v="54"/>
    <x v="1"/>
  </r>
  <r>
    <s v="Családi hagyomány"/>
    <s v="Családi hagyomány"/>
    <m/>
    <m/>
    <n v="55"/>
    <x v="6"/>
  </r>
  <r>
    <s v="Hagyományos, Izgalom"/>
    <s v="Hagyományos"/>
    <s v="Izgalom"/>
    <m/>
    <n v="56"/>
    <x v="7"/>
  </r>
  <r>
    <s v="Unatkozás"/>
    <s v="Unatkozás"/>
    <m/>
    <m/>
    <n v="57"/>
    <x v="3"/>
  </r>
  <r>
    <s v="Könnyű játék, Unatkozás, Hagyományos"/>
    <s v="Könnyű játék"/>
    <s v="Unatkozás"/>
    <s v="Hagyományos"/>
    <n v="58"/>
    <x v="5"/>
  </r>
  <r>
    <s v="Régimódi, Izgalom"/>
    <s v="Régimódi"/>
    <s v="Izgalom"/>
    <m/>
    <n v="59"/>
    <x v="2"/>
  </r>
  <r>
    <s v="Családi hagyomány, Régimódi, Unatkozás"/>
    <s v="Családi hagyomány"/>
    <s v="Régimódi"/>
    <s v="Unatkozás"/>
    <n v="60"/>
    <x v="6"/>
  </r>
  <r>
    <s v="Unatkozás"/>
    <s v="Unatkozás"/>
    <m/>
    <m/>
    <n v="61"/>
    <x v="3"/>
  </r>
  <r>
    <s v="Esetleges pénzforrás, Családi hagyomány"/>
    <s v="Esetleges pénzforrás"/>
    <s v="Családi hagyomány"/>
    <m/>
    <n v="62"/>
    <x v="0"/>
  </r>
  <r>
    <s v="Unatkozás, Esetleges pénzforrás"/>
    <s v="Unatkozás"/>
    <s v="Esetleges pénzforrás"/>
    <m/>
    <n v="63"/>
    <x v="3"/>
  </r>
  <r>
    <s v="Izgalom"/>
    <s v="Izgalom"/>
    <m/>
    <m/>
    <n v="64"/>
    <x v="4"/>
  </r>
  <r>
    <s v="Családi hagyomány, Hagyományos, Esetleges pénzforrás"/>
    <s v="Családi hagyomány"/>
    <s v="Hagyományos"/>
    <s v="Esetleges pénzforrás"/>
    <n v="65"/>
    <x v="6"/>
  </r>
  <r>
    <s v="Esetleges pénzforrás, Izgalom"/>
    <s v="Esetleges pénzforrás"/>
    <s v="Izgalom"/>
    <m/>
    <n v="66"/>
    <x v="0"/>
  </r>
  <r>
    <s v="Nagy nyeremények"/>
    <s v="Nagy nyeremények"/>
    <m/>
    <m/>
    <n v="67"/>
    <x v="1"/>
  </r>
  <r>
    <s v="Családi hagyomány, Nagy nyeremények, Hagyományos"/>
    <s v="Családi hagyomány"/>
    <s v="Nagy nyeremények"/>
    <s v="Hagyományos"/>
    <n v="68"/>
    <x v="6"/>
  </r>
  <r>
    <s v="Izgalom"/>
    <s v="Izgalom"/>
    <m/>
    <m/>
    <n v="69"/>
    <x v="4"/>
  </r>
  <r>
    <s v="Családi hagyomány, Régimódi, Unatkozás"/>
    <s v="Családi hagyomány"/>
    <s v="Régimódi"/>
    <s v="Unatkozás"/>
    <n v="70"/>
    <x v="6"/>
  </r>
  <r>
    <s v="Esetleges pénzforrás, Régimódi, Unatkozás"/>
    <s v="Esetleges pénzforrás"/>
    <s v="Régimódi"/>
    <s v="Unatkozás"/>
    <n v="71"/>
    <x v="0"/>
  </r>
  <r>
    <s v="Esetleges pénzforrás, Unatkozás"/>
    <s v="Esetleges pénzforrás"/>
    <s v="Unatkozás"/>
    <m/>
    <n v="72"/>
    <x v="0"/>
  </r>
  <r>
    <s v="Családi hagyomány, Hagyományos"/>
    <s v="Családi hagyomány"/>
    <s v="Hagyományos"/>
    <m/>
    <n v="73"/>
    <x v="6"/>
  </r>
  <r>
    <s v="Könnyű játék"/>
    <s v="Könnyű játék"/>
    <m/>
    <m/>
    <n v="74"/>
    <x v="5"/>
  </r>
  <r>
    <s v="Nagy nyeremények"/>
    <s v="Nagy nyeremények"/>
    <m/>
    <m/>
    <n v="75"/>
    <x v="1"/>
  </r>
  <r>
    <s v="Könnyű játék, Nagy nyeremények, Családi hagyomány"/>
    <s v="Könnyű játék"/>
    <s v="Nagy nyeremények"/>
    <s v="Családi hagyomány"/>
    <n v="76"/>
    <x v="5"/>
  </r>
  <r>
    <s v="Izgalom, Nagy nyeremények"/>
    <s v="Izgalom"/>
    <s v="Nagy nyeremények"/>
    <m/>
    <n v="77"/>
    <x v="4"/>
  </r>
  <r>
    <s v="Régimódi, Nagy nyeremények"/>
    <s v="Régimódi"/>
    <s v="Nagy nyeremények"/>
    <m/>
    <n v="78"/>
    <x v="2"/>
  </r>
  <r>
    <s v="Hagyományos, Unatkozás"/>
    <s v="Hagyományos"/>
    <s v="Unatkozás"/>
    <m/>
    <n v="79"/>
    <x v="7"/>
  </r>
  <r>
    <s v="Könnyű játék, Családi hagyomány, Unatkozás"/>
    <s v="Könnyű játék"/>
    <s v="Családi hagyomány"/>
    <s v="Unatkozás"/>
    <n v="80"/>
    <x v="5"/>
  </r>
  <r>
    <s v="Könnyű játék"/>
    <s v="Könnyű játék"/>
    <m/>
    <m/>
    <n v="81"/>
    <x v="5"/>
  </r>
  <r>
    <s v="Családi hagyomány, Hagyományos, Izgalom"/>
    <s v="Családi hagyomány"/>
    <s v="Hagyományos"/>
    <s v="Izgalom"/>
    <n v="82"/>
    <x v="6"/>
  </r>
  <r>
    <s v="Családi hagyomány"/>
    <s v="Családi hagyomány"/>
    <m/>
    <m/>
    <n v="83"/>
    <x v="6"/>
  </r>
  <r>
    <s v="Izgalom, Könnyű játék"/>
    <s v="Izgalom"/>
    <s v="Könnyű játék"/>
    <m/>
    <n v="84"/>
    <x v="4"/>
  </r>
  <r>
    <s v="Hagyományos"/>
    <s v="Hagyományos"/>
    <m/>
    <m/>
    <n v="85"/>
    <x v="7"/>
  </r>
  <r>
    <s v="Unatkozás, Hagyományos"/>
    <s v="Unatkozás"/>
    <s v="Hagyományos"/>
    <m/>
    <n v="86"/>
    <x v="3"/>
  </r>
  <r>
    <s v="Esetleges pénzforrás, Izgalom, Unatkozás"/>
    <s v="Esetleges pénzforrás"/>
    <s v="Izgalom"/>
    <s v="Unatkozás"/>
    <n v="87"/>
    <x v="0"/>
  </r>
  <r>
    <s v="Hagyományos"/>
    <s v="Hagyományos"/>
    <m/>
    <m/>
    <n v="88"/>
    <x v="7"/>
  </r>
  <r>
    <s v="Hagyományos, Unatkozás, Nagy nyeremények"/>
    <s v="Hagyományos"/>
    <s v="Unatkozás"/>
    <s v="Nagy nyeremények"/>
    <n v="89"/>
    <x v="7"/>
  </r>
  <r>
    <s v="Könnyű játék"/>
    <s v="Könnyű játék"/>
    <m/>
    <m/>
    <n v="90"/>
    <x v="5"/>
  </r>
  <r>
    <s v="Könnyű játék"/>
    <s v="Könnyű játék"/>
    <m/>
    <m/>
    <n v="91"/>
    <x v="5"/>
  </r>
  <r>
    <s v="Nagy nyeremények"/>
    <s v="Nagy nyeremények"/>
    <m/>
    <m/>
    <n v="92"/>
    <x v="1"/>
  </r>
  <r>
    <s v="Könnyű játék"/>
    <s v="Könnyű játék"/>
    <m/>
    <m/>
    <n v="93"/>
    <x v="5"/>
  </r>
  <r>
    <s v="Hagyományos"/>
    <s v="Hagyományos"/>
    <m/>
    <m/>
    <n v="94"/>
    <x v="7"/>
  </r>
  <r>
    <s v="Nagy nyeremények, Unatkozás"/>
    <s v="Nagy nyeremények"/>
    <s v="Unatkozás"/>
    <m/>
    <n v="95"/>
    <x v="1"/>
  </r>
  <r>
    <s v="Régimódi"/>
    <s v="Régimódi"/>
    <m/>
    <m/>
    <n v="96"/>
    <x v="2"/>
  </r>
  <r>
    <s v="Unatkozás, Izgalom, Családi hagyomány"/>
    <s v="Unatkozás"/>
    <s v="Izgalom"/>
    <s v="Családi hagyomány"/>
    <n v="97"/>
    <x v="3"/>
  </r>
  <r>
    <m/>
    <m/>
    <m/>
    <m/>
    <n v="98"/>
    <x v="4"/>
  </r>
  <r>
    <m/>
    <m/>
    <m/>
    <m/>
    <n v="99"/>
    <x v="7"/>
  </r>
  <r>
    <m/>
    <m/>
    <m/>
    <m/>
    <n v="100"/>
    <x v="4"/>
  </r>
  <r>
    <m/>
    <m/>
    <m/>
    <m/>
    <n v="101"/>
    <x v="7"/>
  </r>
  <r>
    <m/>
    <m/>
    <m/>
    <m/>
    <n v="102"/>
    <x v="4"/>
  </r>
  <r>
    <m/>
    <m/>
    <m/>
    <m/>
    <n v="103"/>
    <x v="6"/>
  </r>
  <r>
    <m/>
    <m/>
    <m/>
    <m/>
    <n v="104"/>
    <x v="0"/>
  </r>
  <r>
    <m/>
    <m/>
    <m/>
    <m/>
    <n v="105"/>
    <x v="3"/>
  </r>
  <r>
    <m/>
    <m/>
    <m/>
    <m/>
    <n v="106"/>
    <x v="2"/>
  </r>
  <r>
    <m/>
    <m/>
    <m/>
    <m/>
    <n v="107"/>
    <x v="0"/>
  </r>
  <r>
    <m/>
    <m/>
    <m/>
    <m/>
    <n v="108"/>
    <x v="2"/>
  </r>
  <r>
    <m/>
    <m/>
    <m/>
    <m/>
    <n v="109"/>
    <x v="4"/>
  </r>
  <r>
    <m/>
    <m/>
    <m/>
    <m/>
    <n v="110"/>
    <x v="7"/>
  </r>
  <r>
    <m/>
    <m/>
    <m/>
    <m/>
    <n v="111"/>
    <x v="3"/>
  </r>
  <r>
    <m/>
    <m/>
    <m/>
    <m/>
    <n v="112"/>
    <x v="5"/>
  </r>
  <r>
    <m/>
    <m/>
    <m/>
    <m/>
    <n v="113"/>
    <x v="3"/>
  </r>
  <r>
    <m/>
    <m/>
    <m/>
    <m/>
    <n v="114"/>
    <x v="3"/>
  </r>
  <r>
    <m/>
    <m/>
    <m/>
    <m/>
    <n v="115"/>
    <x v="7"/>
  </r>
  <r>
    <m/>
    <m/>
    <m/>
    <m/>
    <n v="116"/>
    <x v="5"/>
  </r>
  <r>
    <m/>
    <m/>
    <m/>
    <m/>
    <n v="117"/>
    <x v="1"/>
  </r>
  <r>
    <m/>
    <m/>
    <m/>
    <m/>
    <n v="118"/>
    <x v="7"/>
  </r>
  <r>
    <m/>
    <m/>
    <m/>
    <m/>
    <n v="119"/>
    <x v="7"/>
  </r>
  <r>
    <m/>
    <m/>
    <m/>
    <m/>
    <n v="120"/>
    <x v="0"/>
  </r>
  <r>
    <m/>
    <m/>
    <m/>
    <m/>
    <n v="121"/>
    <x v="5"/>
  </r>
  <r>
    <m/>
    <m/>
    <m/>
    <m/>
    <n v="122"/>
    <x v="6"/>
  </r>
  <r>
    <m/>
    <m/>
    <m/>
    <m/>
    <n v="123"/>
    <x v="0"/>
  </r>
  <r>
    <m/>
    <m/>
    <m/>
    <m/>
    <n v="124"/>
    <x v="7"/>
  </r>
  <r>
    <m/>
    <m/>
    <m/>
    <m/>
    <n v="125"/>
    <x v="1"/>
  </r>
  <r>
    <m/>
    <m/>
    <m/>
    <m/>
    <n v="126"/>
    <x v="0"/>
  </r>
  <r>
    <m/>
    <m/>
    <m/>
    <m/>
    <n v="127"/>
    <x v="7"/>
  </r>
  <r>
    <m/>
    <m/>
    <m/>
    <m/>
    <n v="128"/>
    <x v="6"/>
  </r>
  <r>
    <m/>
    <m/>
    <m/>
    <m/>
    <n v="129"/>
    <x v="7"/>
  </r>
  <r>
    <m/>
    <m/>
    <m/>
    <m/>
    <n v="130"/>
    <x v="6"/>
  </r>
  <r>
    <m/>
    <m/>
    <m/>
    <m/>
    <n v="131"/>
    <x v="2"/>
  </r>
  <r>
    <m/>
    <m/>
    <m/>
    <m/>
    <n v="132"/>
    <x v="3"/>
  </r>
  <r>
    <m/>
    <m/>
    <m/>
    <m/>
    <n v="133"/>
    <x v="5"/>
  </r>
  <r>
    <m/>
    <m/>
    <m/>
    <m/>
    <n v="134"/>
    <x v="4"/>
  </r>
  <r>
    <m/>
    <m/>
    <m/>
    <m/>
    <n v="135"/>
    <x v="3"/>
  </r>
  <r>
    <m/>
    <m/>
    <m/>
    <m/>
    <n v="136"/>
    <x v="4"/>
  </r>
  <r>
    <m/>
    <m/>
    <m/>
    <m/>
    <n v="137"/>
    <x v="2"/>
  </r>
  <r>
    <m/>
    <m/>
    <m/>
    <m/>
    <n v="138"/>
    <x v="6"/>
  </r>
  <r>
    <m/>
    <m/>
    <m/>
    <m/>
    <n v="139"/>
    <x v="0"/>
  </r>
  <r>
    <m/>
    <m/>
    <m/>
    <m/>
    <n v="140"/>
    <x v="7"/>
  </r>
  <r>
    <m/>
    <m/>
    <m/>
    <m/>
    <n v="141"/>
    <x v="4"/>
  </r>
  <r>
    <m/>
    <m/>
    <m/>
    <m/>
    <n v="142"/>
    <x v="1"/>
  </r>
  <r>
    <m/>
    <m/>
    <m/>
    <m/>
    <n v="143"/>
    <x v="2"/>
  </r>
  <r>
    <m/>
    <m/>
    <m/>
    <m/>
    <n v="144"/>
    <x v="2"/>
  </r>
  <r>
    <m/>
    <m/>
    <m/>
    <m/>
    <n v="145"/>
    <x v="3"/>
  </r>
  <r>
    <m/>
    <m/>
    <m/>
    <m/>
    <n v="146"/>
    <x v="7"/>
  </r>
  <r>
    <m/>
    <m/>
    <m/>
    <m/>
    <n v="147"/>
    <x v="1"/>
  </r>
  <r>
    <m/>
    <m/>
    <m/>
    <m/>
    <n v="148"/>
    <x v="1"/>
  </r>
  <r>
    <m/>
    <m/>
    <m/>
    <m/>
    <n v="149"/>
    <x v="1"/>
  </r>
  <r>
    <m/>
    <m/>
    <m/>
    <m/>
    <n v="150"/>
    <x v="3"/>
  </r>
  <r>
    <m/>
    <m/>
    <m/>
    <m/>
    <n v="151"/>
    <x v="6"/>
  </r>
  <r>
    <m/>
    <m/>
    <m/>
    <m/>
    <n v="152"/>
    <x v="7"/>
  </r>
  <r>
    <m/>
    <m/>
    <m/>
    <m/>
    <n v="153"/>
    <x v="5"/>
  </r>
  <r>
    <m/>
    <m/>
    <m/>
    <m/>
    <n v="154"/>
    <x v="7"/>
  </r>
  <r>
    <m/>
    <m/>
    <m/>
    <m/>
    <n v="155"/>
    <x v="4"/>
  </r>
  <r>
    <m/>
    <m/>
    <m/>
    <m/>
    <n v="156"/>
    <x v="3"/>
  </r>
  <r>
    <m/>
    <m/>
    <m/>
    <m/>
    <n v="157"/>
    <x v="3"/>
  </r>
  <r>
    <m/>
    <m/>
    <m/>
    <m/>
    <n v="158"/>
    <x v="4"/>
  </r>
  <r>
    <m/>
    <m/>
    <m/>
    <m/>
    <n v="159"/>
    <x v="2"/>
  </r>
  <r>
    <m/>
    <m/>
    <m/>
    <m/>
    <n v="160"/>
    <x v="3"/>
  </r>
  <r>
    <m/>
    <m/>
    <m/>
    <m/>
    <n v="161"/>
    <x v="5"/>
  </r>
  <r>
    <m/>
    <m/>
    <m/>
    <m/>
    <n v="162"/>
    <x v="3"/>
  </r>
  <r>
    <m/>
    <m/>
    <m/>
    <m/>
    <n v="163"/>
    <x v="2"/>
  </r>
  <r>
    <m/>
    <m/>
    <m/>
    <m/>
    <n v="164"/>
    <x v="3"/>
  </r>
  <r>
    <m/>
    <m/>
    <m/>
    <m/>
    <n v="165"/>
    <x v="6"/>
  </r>
  <r>
    <m/>
    <m/>
    <m/>
    <m/>
    <n v="166"/>
    <x v="5"/>
  </r>
  <r>
    <m/>
    <m/>
    <m/>
    <m/>
    <n v="167"/>
    <x v="7"/>
  </r>
  <r>
    <m/>
    <m/>
    <m/>
    <m/>
    <n v="168"/>
    <x v="5"/>
  </r>
  <r>
    <m/>
    <m/>
    <m/>
    <m/>
    <n v="169"/>
    <x v="4"/>
  </r>
  <r>
    <m/>
    <m/>
    <m/>
    <m/>
    <n v="170"/>
    <x v="2"/>
  </r>
  <r>
    <m/>
    <m/>
    <m/>
    <m/>
    <n v="171"/>
    <x v="2"/>
  </r>
  <r>
    <m/>
    <m/>
    <m/>
    <m/>
    <n v="172"/>
    <x v="0"/>
  </r>
  <r>
    <m/>
    <m/>
    <m/>
    <m/>
    <n v="173"/>
    <x v="6"/>
  </r>
  <r>
    <m/>
    <m/>
    <m/>
    <m/>
    <n v="174"/>
    <x v="5"/>
  </r>
  <r>
    <m/>
    <m/>
    <m/>
    <m/>
    <n v="175"/>
    <x v="6"/>
  </r>
  <r>
    <m/>
    <m/>
    <m/>
    <m/>
    <n v="176"/>
    <x v="0"/>
  </r>
  <r>
    <m/>
    <m/>
    <m/>
    <m/>
    <n v="177"/>
    <x v="7"/>
  </r>
  <r>
    <m/>
    <m/>
    <m/>
    <m/>
    <n v="178"/>
    <x v="3"/>
  </r>
  <r>
    <m/>
    <m/>
    <m/>
    <m/>
    <n v="179"/>
    <x v="0"/>
  </r>
  <r>
    <m/>
    <m/>
    <m/>
    <m/>
    <n v="180"/>
    <x v="7"/>
  </r>
  <r>
    <m/>
    <m/>
    <m/>
    <m/>
    <n v="181"/>
    <x v="3"/>
  </r>
  <r>
    <m/>
    <m/>
    <m/>
    <m/>
    <n v="182"/>
    <x v="3"/>
  </r>
  <r>
    <m/>
    <m/>
    <m/>
    <m/>
    <n v="183"/>
    <x v="6"/>
  </r>
  <r>
    <m/>
    <m/>
    <m/>
    <m/>
    <n v="184"/>
    <x v="3"/>
  </r>
  <r>
    <m/>
    <m/>
    <m/>
    <m/>
    <n v="185"/>
    <x v="4"/>
  </r>
  <r>
    <m/>
    <m/>
    <m/>
    <m/>
    <n v="186"/>
    <x v="3"/>
  </r>
  <r>
    <m/>
    <m/>
    <m/>
    <m/>
    <n v="187"/>
    <x v="1"/>
  </r>
  <r>
    <m/>
    <m/>
    <m/>
    <m/>
    <n v="188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82354A-84EF-41C8-AEFA-C927F75629D3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M12" firstHeaderRow="1" firstDataRow="1" firstDataCol="1"/>
  <pivotFields count="6">
    <pivotField showAll="0"/>
    <pivotField showAll="0"/>
    <pivotField showAll="0"/>
    <pivotField showAll="0"/>
    <pivotField dataField="1" showAll="0"/>
    <pivotField axis="axisRow" showAll="0">
      <items count="9">
        <item x="6"/>
        <item x="0"/>
        <item x="7"/>
        <item x="4"/>
        <item x="5"/>
        <item x="1"/>
        <item x="2"/>
        <item x="3"/>
        <item t="default"/>
      </items>
    </pivotField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szám" fld="4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244998-79D4-43C1-9471-617790ACD16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4">
    <pivotField dataField="1"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Válaszadó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55A40E-74D8-437F-AE83-263E24432AE0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15" firstHeaderRow="1" firstDataRow="1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3"/>
        <item x="5"/>
        <item x="8"/>
        <item x="7"/>
        <item x="2"/>
        <item x="6"/>
        <item x="0"/>
        <item x="1"/>
        <item x="4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Válaszadó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40336D-2F11-4FFD-B9F7-D749E3E3BEA6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2:F24" firstHeaderRow="1" firstDataRow="1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0"/>
        <item x="3"/>
        <item x="7"/>
        <item x="8"/>
        <item x="5"/>
        <item x="2"/>
        <item x="4"/>
        <item x="9"/>
        <item x="1"/>
        <item x="6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Válaszadó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314C7D-46A2-436F-8CDC-A82AB550DE6A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9" firstHeaderRow="1" firstDataRow="1" firstDataCol="1"/>
  <pivotFields count="24">
    <pivotField dataField="1"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Válaszadó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451D1D-B89E-4FE0-BCD3-40FF7DE45B4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8" firstHeaderRow="1" firstDataRow="1" firstDataCol="1"/>
  <pivotFields count="24">
    <pivotField dataField="1" showAll="0"/>
    <pivotField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Válaszadó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49329-677B-49C8-885E-BF0077308AC6}">
  <dimension ref="A2:M24"/>
  <sheetViews>
    <sheetView tabSelected="1" zoomScale="90" workbookViewId="0">
      <selection activeCell="M3" sqref="M3"/>
    </sheetView>
  </sheetViews>
  <sheetFormatPr defaultRowHeight="14.5" x14ac:dyDescent="0.35"/>
  <cols>
    <col min="1" max="1" width="33.90625" bestFit="1" customWidth="1"/>
    <col min="2" max="2" width="19.6328125" bestFit="1" customWidth="1"/>
    <col min="5" max="5" width="50.453125" bestFit="1" customWidth="1"/>
    <col min="6" max="6" width="19.6328125" bestFit="1" customWidth="1"/>
    <col min="9" max="9" width="48.1796875" bestFit="1" customWidth="1"/>
    <col min="10" max="10" width="19.6328125" bestFit="1" customWidth="1"/>
    <col min="12" max="12" width="18.26953125" bestFit="1" customWidth="1"/>
    <col min="13" max="13" width="13.36328125" bestFit="1" customWidth="1"/>
  </cols>
  <sheetData>
    <row r="2" spans="1:13" x14ac:dyDescent="0.35">
      <c r="A2" t="s">
        <v>1</v>
      </c>
      <c r="E2" t="s">
        <v>5</v>
      </c>
      <c r="I2" t="s">
        <v>299</v>
      </c>
      <c r="L2" t="s">
        <v>4</v>
      </c>
      <c r="M2" t="s">
        <v>306</v>
      </c>
    </row>
    <row r="3" spans="1:13" x14ac:dyDescent="0.35">
      <c r="A3" s="2" t="s">
        <v>295</v>
      </c>
      <c r="B3" t="s">
        <v>298</v>
      </c>
      <c r="E3" s="2" t="s">
        <v>295</v>
      </c>
      <c r="F3" t="s">
        <v>298</v>
      </c>
      <c r="I3" s="2" t="s">
        <v>295</v>
      </c>
      <c r="J3" t="s">
        <v>298</v>
      </c>
      <c r="L3" s="2" t="s">
        <v>303</v>
      </c>
      <c r="M3" t="s">
        <v>305</v>
      </c>
    </row>
    <row r="4" spans="1:13" x14ac:dyDescent="0.35">
      <c r="A4" s="3" t="s">
        <v>33</v>
      </c>
      <c r="B4">
        <v>35</v>
      </c>
      <c r="E4" s="3" t="s">
        <v>57</v>
      </c>
      <c r="F4">
        <v>12</v>
      </c>
      <c r="I4" s="3" t="s">
        <v>52</v>
      </c>
      <c r="J4">
        <v>10</v>
      </c>
      <c r="L4" s="3" t="s">
        <v>74</v>
      </c>
      <c r="M4">
        <v>28</v>
      </c>
    </row>
    <row r="5" spans="1:13" x14ac:dyDescent="0.35">
      <c r="A5" s="3" t="s">
        <v>54</v>
      </c>
      <c r="B5">
        <v>38</v>
      </c>
      <c r="E5" s="3" t="s">
        <v>42</v>
      </c>
      <c r="F5">
        <v>29</v>
      </c>
      <c r="I5" s="3" t="s">
        <v>72</v>
      </c>
      <c r="J5">
        <v>7</v>
      </c>
      <c r="L5" s="3" t="s">
        <v>27</v>
      </c>
      <c r="M5">
        <v>20</v>
      </c>
    </row>
    <row r="6" spans="1:13" x14ac:dyDescent="0.35">
      <c r="A6" s="3" t="s">
        <v>25</v>
      </c>
      <c r="B6">
        <v>24</v>
      </c>
      <c r="E6" s="3" t="s">
        <v>36</v>
      </c>
      <c r="F6">
        <v>32</v>
      </c>
      <c r="I6" s="3" t="s">
        <v>94</v>
      </c>
      <c r="J6">
        <v>8</v>
      </c>
      <c r="L6" s="3" t="s">
        <v>104</v>
      </c>
      <c r="M6">
        <v>25</v>
      </c>
    </row>
    <row r="7" spans="1:13" x14ac:dyDescent="0.35">
      <c r="A7" s="3" t="s">
        <v>296</v>
      </c>
      <c r="E7" s="3" t="s">
        <v>28</v>
      </c>
      <c r="F7">
        <v>24</v>
      </c>
      <c r="I7" s="3" t="s">
        <v>84</v>
      </c>
      <c r="J7">
        <v>13</v>
      </c>
      <c r="L7" s="3" t="s">
        <v>77</v>
      </c>
      <c r="M7">
        <v>22</v>
      </c>
    </row>
    <row r="8" spans="1:13" x14ac:dyDescent="0.35">
      <c r="A8" s="3" t="s">
        <v>297</v>
      </c>
      <c r="B8">
        <v>97</v>
      </c>
      <c r="E8" s="3" t="s">
        <v>296</v>
      </c>
      <c r="I8" s="3" t="s">
        <v>44</v>
      </c>
      <c r="J8">
        <v>10</v>
      </c>
      <c r="L8" s="3" t="s">
        <v>169</v>
      </c>
      <c r="M8">
        <v>23</v>
      </c>
    </row>
    <row r="9" spans="1:13" x14ac:dyDescent="0.35">
      <c r="E9" s="3" t="s">
        <v>297</v>
      </c>
      <c r="F9">
        <v>97</v>
      </c>
      <c r="I9" s="3" t="s">
        <v>79</v>
      </c>
      <c r="J9">
        <v>9</v>
      </c>
      <c r="L9" s="3" t="s">
        <v>184</v>
      </c>
      <c r="M9">
        <v>20</v>
      </c>
    </row>
    <row r="10" spans="1:13" x14ac:dyDescent="0.35">
      <c r="A10" s="3" t="s">
        <v>2</v>
      </c>
      <c r="I10" s="3" t="s">
        <v>31</v>
      </c>
      <c r="J10">
        <v>9</v>
      </c>
      <c r="L10" s="3" t="s">
        <v>135</v>
      </c>
      <c r="M10">
        <v>19</v>
      </c>
    </row>
    <row r="11" spans="1:13" x14ac:dyDescent="0.35">
      <c r="A11" s="2" t="s">
        <v>295</v>
      </c>
      <c r="B11" t="s">
        <v>298</v>
      </c>
      <c r="E11" s="3" t="s">
        <v>11</v>
      </c>
      <c r="I11" s="3" t="s">
        <v>39</v>
      </c>
      <c r="J11">
        <v>11</v>
      </c>
      <c r="L11" s="3" t="s">
        <v>49</v>
      </c>
      <c r="M11">
        <v>31</v>
      </c>
    </row>
    <row r="12" spans="1:13" x14ac:dyDescent="0.35">
      <c r="A12" s="3" t="s">
        <v>90</v>
      </c>
      <c r="B12">
        <v>6</v>
      </c>
      <c r="E12" s="2" t="s">
        <v>295</v>
      </c>
      <c r="F12" t="s">
        <v>298</v>
      </c>
      <c r="I12" s="3" t="s">
        <v>68</v>
      </c>
      <c r="J12">
        <v>7</v>
      </c>
      <c r="L12" s="3" t="s">
        <v>304</v>
      </c>
      <c r="M12">
        <v>188</v>
      </c>
    </row>
    <row r="13" spans="1:13" x14ac:dyDescent="0.35">
      <c r="A13" s="3" t="s">
        <v>107</v>
      </c>
      <c r="B13">
        <v>1</v>
      </c>
      <c r="E13" s="3" t="s">
        <v>29</v>
      </c>
      <c r="F13">
        <v>12</v>
      </c>
      <c r="I13" s="3" t="s">
        <v>99</v>
      </c>
      <c r="J13">
        <v>13</v>
      </c>
    </row>
    <row r="14" spans="1:13" x14ac:dyDescent="0.35">
      <c r="A14" s="3" t="s">
        <v>26</v>
      </c>
      <c r="B14">
        <v>35</v>
      </c>
      <c r="E14" s="3" t="s">
        <v>50</v>
      </c>
      <c r="F14">
        <v>8</v>
      </c>
      <c r="I14" s="3" t="s">
        <v>296</v>
      </c>
    </row>
    <row r="15" spans="1:13" x14ac:dyDescent="0.35">
      <c r="A15" s="3" t="s">
        <v>55</v>
      </c>
      <c r="B15">
        <v>23</v>
      </c>
      <c r="E15" s="3" t="s">
        <v>70</v>
      </c>
      <c r="F15">
        <v>10</v>
      </c>
      <c r="I15" s="3" t="s">
        <v>297</v>
      </c>
      <c r="J15">
        <v>97</v>
      </c>
    </row>
    <row r="16" spans="1:13" x14ac:dyDescent="0.35">
      <c r="A16" s="3" t="s">
        <v>34</v>
      </c>
      <c r="B16">
        <v>32</v>
      </c>
      <c r="E16" s="3" t="s">
        <v>87</v>
      </c>
      <c r="F16">
        <v>10</v>
      </c>
    </row>
    <row r="17" spans="1:6" x14ac:dyDescent="0.35">
      <c r="A17" s="3" t="s">
        <v>296</v>
      </c>
      <c r="E17" s="3" t="s">
        <v>62</v>
      </c>
      <c r="F17">
        <v>9</v>
      </c>
    </row>
    <row r="18" spans="1:6" x14ac:dyDescent="0.35">
      <c r="A18" s="3" t="s">
        <v>297</v>
      </c>
      <c r="B18">
        <v>97</v>
      </c>
      <c r="E18" s="3" t="s">
        <v>46</v>
      </c>
      <c r="F18">
        <v>12</v>
      </c>
    </row>
    <row r="19" spans="1:6" x14ac:dyDescent="0.35">
      <c r="E19" s="3" t="s">
        <v>58</v>
      </c>
      <c r="F19">
        <v>12</v>
      </c>
    </row>
    <row r="20" spans="1:6" x14ac:dyDescent="0.35">
      <c r="E20" s="3" t="s">
        <v>97</v>
      </c>
      <c r="F20">
        <v>10</v>
      </c>
    </row>
    <row r="21" spans="1:6" x14ac:dyDescent="0.35">
      <c r="E21" s="3" t="s">
        <v>37</v>
      </c>
      <c r="F21">
        <v>6</v>
      </c>
    </row>
    <row r="22" spans="1:6" x14ac:dyDescent="0.35">
      <c r="E22" s="3" t="s">
        <v>66</v>
      </c>
      <c r="F22">
        <v>8</v>
      </c>
    </row>
    <row r="23" spans="1:6" x14ac:dyDescent="0.35">
      <c r="E23" s="3" t="s">
        <v>296</v>
      </c>
    </row>
    <row r="24" spans="1:6" x14ac:dyDescent="0.35">
      <c r="E24" s="3" t="s">
        <v>297</v>
      </c>
      <c r="F24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"/>
  <sheetViews>
    <sheetView workbookViewId="0">
      <selection activeCell="A98" sqref="A98"/>
    </sheetView>
  </sheetViews>
  <sheetFormatPr defaultRowHeight="14.5" x14ac:dyDescent="0.35"/>
  <cols>
    <col min="2" max="2" width="13.90625" customWidth="1"/>
    <col min="3" max="3" width="38.54296875" customWidth="1"/>
    <col min="4" max="4" width="10.453125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t="s">
        <v>24</v>
      </c>
      <c r="B2" t="s">
        <v>25</v>
      </c>
      <c r="C2" t="s">
        <v>26</v>
      </c>
      <c r="D2">
        <v>8</v>
      </c>
      <c r="E2" t="s">
        <v>27</v>
      </c>
      <c r="F2" t="s">
        <v>28</v>
      </c>
      <c r="G2">
        <v>4</v>
      </c>
      <c r="H2">
        <v>5</v>
      </c>
      <c r="I2">
        <v>2</v>
      </c>
      <c r="J2">
        <v>4</v>
      </c>
      <c r="K2">
        <v>4</v>
      </c>
      <c r="L2" t="s">
        <v>29</v>
      </c>
      <c r="M2" t="s">
        <v>30</v>
      </c>
      <c r="N2">
        <v>2</v>
      </c>
      <c r="O2">
        <v>2</v>
      </c>
      <c r="P2">
        <v>5</v>
      </c>
      <c r="Q2">
        <v>5</v>
      </c>
      <c r="R2" t="s">
        <v>31</v>
      </c>
      <c r="S2">
        <v>4</v>
      </c>
      <c r="T2">
        <v>5</v>
      </c>
      <c r="U2">
        <v>5</v>
      </c>
      <c r="V2">
        <v>5</v>
      </c>
      <c r="W2">
        <v>5</v>
      </c>
      <c r="X2">
        <v>4</v>
      </c>
    </row>
    <row r="3" spans="1:24" x14ac:dyDescent="0.35">
      <c r="A3" t="s">
        <v>32</v>
      </c>
      <c r="B3" t="s">
        <v>33</v>
      </c>
      <c r="C3" t="s">
        <v>34</v>
      </c>
      <c r="D3">
        <v>4</v>
      </c>
      <c r="E3" t="s">
        <v>35</v>
      </c>
      <c r="F3" t="s">
        <v>36</v>
      </c>
      <c r="G3">
        <v>5</v>
      </c>
      <c r="H3">
        <v>4</v>
      </c>
      <c r="I3">
        <v>2</v>
      </c>
      <c r="J3">
        <v>2</v>
      </c>
      <c r="K3">
        <v>4</v>
      </c>
      <c r="L3" t="s">
        <v>37</v>
      </c>
      <c r="M3" t="s">
        <v>38</v>
      </c>
      <c r="N3">
        <v>1</v>
      </c>
      <c r="O3">
        <v>4</v>
      </c>
      <c r="P3">
        <v>2</v>
      </c>
      <c r="Q3">
        <v>4</v>
      </c>
      <c r="R3" t="s">
        <v>39</v>
      </c>
      <c r="S3">
        <v>4</v>
      </c>
      <c r="T3">
        <v>5</v>
      </c>
      <c r="U3">
        <v>5</v>
      </c>
      <c r="V3">
        <v>5</v>
      </c>
      <c r="W3">
        <v>5</v>
      </c>
      <c r="X3">
        <v>3</v>
      </c>
    </row>
    <row r="4" spans="1:24" x14ac:dyDescent="0.35">
      <c r="A4" t="s">
        <v>40</v>
      </c>
      <c r="B4" t="s">
        <v>25</v>
      </c>
      <c r="C4" t="s">
        <v>26</v>
      </c>
      <c r="D4">
        <v>6</v>
      </c>
      <c r="E4" t="s">
        <v>41</v>
      </c>
      <c r="F4" t="s">
        <v>42</v>
      </c>
      <c r="G4">
        <v>4</v>
      </c>
      <c r="H4">
        <v>4</v>
      </c>
      <c r="I4">
        <v>1</v>
      </c>
      <c r="J4">
        <v>4</v>
      </c>
      <c r="K4">
        <v>5</v>
      </c>
      <c r="L4" t="s">
        <v>29</v>
      </c>
      <c r="M4" t="s">
        <v>43</v>
      </c>
      <c r="N4">
        <v>5</v>
      </c>
      <c r="O4">
        <v>1</v>
      </c>
      <c r="P4">
        <v>3</v>
      </c>
      <c r="Q4">
        <v>1</v>
      </c>
      <c r="R4" t="s">
        <v>44</v>
      </c>
      <c r="S4">
        <v>4</v>
      </c>
      <c r="T4">
        <v>5</v>
      </c>
      <c r="U4">
        <v>4</v>
      </c>
      <c r="V4">
        <v>4</v>
      </c>
      <c r="W4">
        <v>4</v>
      </c>
      <c r="X4">
        <v>4</v>
      </c>
    </row>
    <row r="5" spans="1:24" x14ac:dyDescent="0.35">
      <c r="A5" t="s">
        <v>45</v>
      </c>
      <c r="B5" t="s">
        <v>33</v>
      </c>
      <c r="C5" t="s">
        <v>34</v>
      </c>
      <c r="D5">
        <v>4</v>
      </c>
      <c r="E5" t="s">
        <v>27</v>
      </c>
      <c r="F5" t="s">
        <v>36</v>
      </c>
      <c r="G5">
        <v>4</v>
      </c>
      <c r="H5">
        <v>5</v>
      </c>
      <c r="I5">
        <v>3</v>
      </c>
      <c r="J5">
        <v>4</v>
      </c>
      <c r="K5">
        <v>5</v>
      </c>
      <c r="L5" t="s">
        <v>46</v>
      </c>
      <c r="M5" t="s">
        <v>47</v>
      </c>
      <c r="N5">
        <v>1</v>
      </c>
      <c r="O5">
        <v>4</v>
      </c>
      <c r="P5">
        <v>3</v>
      </c>
      <c r="Q5">
        <v>4</v>
      </c>
      <c r="R5" t="s">
        <v>44</v>
      </c>
      <c r="S5">
        <v>5</v>
      </c>
      <c r="T5">
        <v>5</v>
      </c>
      <c r="U5">
        <v>4</v>
      </c>
      <c r="V5">
        <v>4</v>
      </c>
      <c r="W5">
        <v>4</v>
      </c>
      <c r="X5">
        <v>3</v>
      </c>
    </row>
    <row r="6" spans="1:24" x14ac:dyDescent="0.35">
      <c r="A6" t="s">
        <v>48</v>
      </c>
      <c r="B6" t="s">
        <v>33</v>
      </c>
      <c r="C6" t="s">
        <v>26</v>
      </c>
      <c r="D6">
        <v>4</v>
      </c>
      <c r="E6" t="s">
        <v>49</v>
      </c>
      <c r="F6" t="s">
        <v>42</v>
      </c>
      <c r="G6">
        <v>5</v>
      </c>
      <c r="H6">
        <v>5</v>
      </c>
      <c r="I6">
        <v>3</v>
      </c>
      <c r="J6">
        <v>1</v>
      </c>
      <c r="K6">
        <v>4</v>
      </c>
      <c r="L6" t="s">
        <v>50</v>
      </c>
      <c r="M6" t="s">
        <v>51</v>
      </c>
      <c r="N6">
        <v>4</v>
      </c>
      <c r="O6">
        <v>5</v>
      </c>
      <c r="P6">
        <v>1</v>
      </c>
      <c r="Q6">
        <v>5</v>
      </c>
      <c r="R6" t="s">
        <v>52</v>
      </c>
      <c r="S6">
        <v>5</v>
      </c>
      <c r="T6">
        <v>3</v>
      </c>
      <c r="U6">
        <v>4</v>
      </c>
      <c r="V6">
        <v>4</v>
      </c>
      <c r="W6">
        <v>4</v>
      </c>
      <c r="X6">
        <v>3</v>
      </c>
    </row>
    <row r="7" spans="1:24" x14ac:dyDescent="0.35">
      <c r="A7" t="s">
        <v>53</v>
      </c>
      <c r="B7" t="s">
        <v>54</v>
      </c>
      <c r="C7" t="s">
        <v>55</v>
      </c>
      <c r="D7">
        <v>7</v>
      </c>
      <c r="E7" t="s">
        <v>56</v>
      </c>
      <c r="F7" t="s">
        <v>57</v>
      </c>
      <c r="G7">
        <v>3</v>
      </c>
      <c r="H7">
        <v>5</v>
      </c>
      <c r="I7">
        <v>2</v>
      </c>
      <c r="J7">
        <v>4</v>
      </c>
      <c r="K7">
        <v>4</v>
      </c>
      <c r="L7" t="s">
        <v>58</v>
      </c>
      <c r="M7" t="s">
        <v>59</v>
      </c>
      <c r="N7">
        <v>2</v>
      </c>
      <c r="O7">
        <v>1</v>
      </c>
      <c r="P7">
        <v>4</v>
      </c>
      <c r="Q7">
        <v>5</v>
      </c>
      <c r="R7" t="s">
        <v>39</v>
      </c>
      <c r="S7">
        <v>5</v>
      </c>
      <c r="T7">
        <v>5</v>
      </c>
      <c r="U7">
        <v>5</v>
      </c>
      <c r="V7">
        <v>3</v>
      </c>
      <c r="W7">
        <v>4</v>
      </c>
      <c r="X7">
        <v>5</v>
      </c>
    </row>
    <row r="8" spans="1:24" x14ac:dyDescent="0.35">
      <c r="A8" t="s">
        <v>60</v>
      </c>
      <c r="B8" t="s">
        <v>25</v>
      </c>
      <c r="C8" t="s">
        <v>55</v>
      </c>
      <c r="D8">
        <v>5</v>
      </c>
      <c r="E8" t="s">
        <v>61</v>
      </c>
      <c r="F8" t="s">
        <v>57</v>
      </c>
      <c r="G8">
        <v>5</v>
      </c>
      <c r="H8">
        <v>3</v>
      </c>
      <c r="I8">
        <v>3</v>
      </c>
      <c r="J8">
        <v>2</v>
      </c>
      <c r="K8">
        <v>4</v>
      </c>
      <c r="L8" t="s">
        <v>62</v>
      </c>
      <c r="M8" t="s">
        <v>63</v>
      </c>
      <c r="N8">
        <v>2</v>
      </c>
      <c r="O8">
        <v>5</v>
      </c>
      <c r="P8">
        <v>2</v>
      </c>
      <c r="Q8">
        <v>3</v>
      </c>
      <c r="R8" t="s">
        <v>44</v>
      </c>
      <c r="S8">
        <v>4</v>
      </c>
      <c r="T8">
        <v>5</v>
      </c>
      <c r="U8">
        <v>5</v>
      </c>
      <c r="V8">
        <v>5</v>
      </c>
      <c r="W8">
        <v>5</v>
      </c>
      <c r="X8">
        <v>3</v>
      </c>
    </row>
    <row r="9" spans="1:24" x14ac:dyDescent="0.35">
      <c r="A9" t="s">
        <v>64</v>
      </c>
      <c r="B9" t="s">
        <v>33</v>
      </c>
      <c r="C9" t="s">
        <v>34</v>
      </c>
      <c r="D9">
        <v>5</v>
      </c>
      <c r="E9" t="s">
        <v>65</v>
      </c>
      <c r="F9" t="s">
        <v>36</v>
      </c>
      <c r="G9">
        <v>5</v>
      </c>
      <c r="H9">
        <v>4</v>
      </c>
      <c r="I9">
        <v>3</v>
      </c>
      <c r="J9">
        <v>2</v>
      </c>
      <c r="K9">
        <v>5</v>
      </c>
      <c r="L9" t="s">
        <v>66</v>
      </c>
      <c r="M9" t="s">
        <v>67</v>
      </c>
      <c r="N9">
        <v>3</v>
      </c>
      <c r="O9">
        <v>5</v>
      </c>
      <c r="P9">
        <v>2</v>
      </c>
      <c r="Q9">
        <v>2</v>
      </c>
      <c r="R9" t="s">
        <v>68</v>
      </c>
      <c r="S9">
        <v>4</v>
      </c>
      <c r="T9">
        <v>3</v>
      </c>
      <c r="U9">
        <v>5</v>
      </c>
      <c r="V9">
        <v>3</v>
      </c>
      <c r="W9">
        <v>5</v>
      </c>
      <c r="X9">
        <v>3</v>
      </c>
    </row>
    <row r="10" spans="1:24" x14ac:dyDescent="0.35">
      <c r="A10" t="s">
        <v>69</v>
      </c>
      <c r="B10" t="s">
        <v>54</v>
      </c>
      <c r="C10" t="s">
        <v>26</v>
      </c>
      <c r="D10">
        <v>4</v>
      </c>
      <c r="E10" t="s">
        <v>27</v>
      </c>
      <c r="F10" t="s">
        <v>28</v>
      </c>
      <c r="G10">
        <v>4</v>
      </c>
      <c r="H10">
        <v>5</v>
      </c>
      <c r="I10">
        <v>1</v>
      </c>
      <c r="J10">
        <v>3</v>
      </c>
      <c r="K10">
        <v>4</v>
      </c>
      <c r="L10" t="s">
        <v>70</v>
      </c>
      <c r="M10" t="s">
        <v>71</v>
      </c>
      <c r="N10">
        <v>3</v>
      </c>
      <c r="O10">
        <v>2</v>
      </c>
      <c r="P10">
        <v>4</v>
      </c>
      <c r="Q10">
        <v>1</v>
      </c>
      <c r="R10" t="s">
        <v>72</v>
      </c>
      <c r="S10">
        <v>5</v>
      </c>
      <c r="T10">
        <v>3</v>
      </c>
      <c r="U10">
        <v>4</v>
      </c>
      <c r="V10">
        <v>3</v>
      </c>
      <c r="W10">
        <v>5</v>
      </c>
      <c r="X10">
        <v>3</v>
      </c>
    </row>
    <row r="11" spans="1:24" x14ac:dyDescent="0.35">
      <c r="A11" t="s">
        <v>73</v>
      </c>
      <c r="B11" t="s">
        <v>33</v>
      </c>
      <c r="C11" t="s">
        <v>26</v>
      </c>
      <c r="D11">
        <v>5</v>
      </c>
      <c r="E11" t="s">
        <v>74</v>
      </c>
      <c r="F11" t="s">
        <v>28</v>
      </c>
      <c r="G11">
        <v>3</v>
      </c>
      <c r="H11">
        <v>5</v>
      </c>
      <c r="I11">
        <v>1</v>
      </c>
      <c r="J11">
        <v>1</v>
      </c>
      <c r="K11">
        <v>4</v>
      </c>
      <c r="L11" t="s">
        <v>58</v>
      </c>
      <c r="M11" t="s">
        <v>75</v>
      </c>
      <c r="N11">
        <v>3</v>
      </c>
      <c r="O11">
        <v>2</v>
      </c>
      <c r="P11">
        <v>4</v>
      </c>
      <c r="Q11">
        <v>2</v>
      </c>
      <c r="R11" t="s">
        <v>39</v>
      </c>
      <c r="S11">
        <v>4</v>
      </c>
      <c r="T11">
        <v>3</v>
      </c>
      <c r="U11">
        <v>5</v>
      </c>
      <c r="V11">
        <v>4</v>
      </c>
      <c r="W11">
        <v>5</v>
      </c>
      <c r="X11">
        <v>4</v>
      </c>
    </row>
    <row r="12" spans="1:24" x14ac:dyDescent="0.35">
      <c r="A12" t="s">
        <v>76</v>
      </c>
      <c r="B12" t="s">
        <v>25</v>
      </c>
      <c r="C12" t="s">
        <v>55</v>
      </c>
      <c r="D12">
        <v>8</v>
      </c>
      <c r="E12" t="s">
        <v>77</v>
      </c>
      <c r="F12" t="s">
        <v>42</v>
      </c>
      <c r="G12">
        <v>3</v>
      </c>
      <c r="H12">
        <v>4</v>
      </c>
      <c r="I12">
        <v>3</v>
      </c>
      <c r="J12">
        <v>3</v>
      </c>
      <c r="K12">
        <v>4</v>
      </c>
      <c r="L12" t="s">
        <v>58</v>
      </c>
      <c r="M12" t="s">
        <v>78</v>
      </c>
      <c r="N12">
        <v>1</v>
      </c>
      <c r="O12">
        <v>4</v>
      </c>
      <c r="P12">
        <v>4</v>
      </c>
      <c r="Q12">
        <v>1</v>
      </c>
      <c r="R12" t="s">
        <v>79</v>
      </c>
      <c r="S12">
        <v>5</v>
      </c>
      <c r="T12">
        <v>4</v>
      </c>
      <c r="U12">
        <v>5</v>
      </c>
      <c r="V12">
        <v>3</v>
      </c>
      <c r="W12">
        <v>5</v>
      </c>
      <c r="X12">
        <v>5</v>
      </c>
    </row>
    <row r="13" spans="1:24" x14ac:dyDescent="0.35">
      <c r="A13" t="s">
        <v>80</v>
      </c>
      <c r="B13" t="s">
        <v>33</v>
      </c>
      <c r="C13" t="s">
        <v>26</v>
      </c>
      <c r="D13">
        <v>5</v>
      </c>
      <c r="E13" t="s">
        <v>27</v>
      </c>
      <c r="F13" t="s">
        <v>42</v>
      </c>
      <c r="G13">
        <v>5</v>
      </c>
      <c r="H13">
        <v>4</v>
      </c>
      <c r="I13">
        <v>3</v>
      </c>
      <c r="J13">
        <v>1</v>
      </c>
      <c r="K13">
        <v>4</v>
      </c>
      <c r="L13" t="s">
        <v>58</v>
      </c>
      <c r="M13" t="s">
        <v>81</v>
      </c>
      <c r="N13">
        <v>4</v>
      </c>
      <c r="O13">
        <v>1</v>
      </c>
      <c r="P13">
        <v>4</v>
      </c>
      <c r="Q13">
        <v>4</v>
      </c>
      <c r="R13" t="s">
        <v>52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</row>
    <row r="14" spans="1:24" x14ac:dyDescent="0.35">
      <c r="A14" t="s">
        <v>82</v>
      </c>
      <c r="B14" t="s">
        <v>54</v>
      </c>
      <c r="C14" t="s">
        <v>34</v>
      </c>
      <c r="D14">
        <v>3</v>
      </c>
      <c r="E14" t="s">
        <v>83</v>
      </c>
      <c r="F14" t="s">
        <v>36</v>
      </c>
      <c r="G14">
        <v>4</v>
      </c>
      <c r="H14">
        <v>5</v>
      </c>
      <c r="I14">
        <v>2</v>
      </c>
      <c r="J14">
        <v>1</v>
      </c>
      <c r="K14">
        <v>5</v>
      </c>
      <c r="L14" t="s">
        <v>70</v>
      </c>
      <c r="M14" t="s">
        <v>67</v>
      </c>
      <c r="N14">
        <v>2</v>
      </c>
      <c r="O14">
        <v>2</v>
      </c>
      <c r="P14">
        <v>5</v>
      </c>
      <c r="Q14">
        <v>4</v>
      </c>
      <c r="R14" t="s">
        <v>84</v>
      </c>
      <c r="S14">
        <v>4</v>
      </c>
      <c r="T14">
        <v>3</v>
      </c>
      <c r="U14">
        <v>5</v>
      </c>
      <c r="V14">
        <v>5</v>
      </c>
      <c r="W14">
        <v>4</v>
      </c>
      <c r="X14">
        <v>5</v>
      </c>
    </row>
    <row r="15" spans="1:24" x14ac:dyDescent="0.35">
      <c r="A15" t="s">
        <v>85</v>
      </c>
      <c r="B15" t="s">
        <v>25</v>
      </c>
      <c r="C15" t="s">
        <v>55</v>
      </c>
      <c r="D15">
        <v>4</v>
      </c>
      <c r="E15" t="s">
        <v>86</v>
      </c>
      <c r="F15" t="s">
        <v>28</v>
      </c>
      <c r="G15">
        <v>5</v>
      </c>
      <c r="H15">
        <v>4</v>
      </c>
      <c r="I15">
        <v>2</v>
      </c>
      <c r="J15">
        <v>2</v>
      </c>
      <c r="K15">
        <v>4</v>
      </c>
      <c r="L15" t="s">
        <v>87</v>
      </c>
      <c r="M15" t="s">
        <v>88</v>
      </c>
      <c r="N15">
        <v>1</v>
      </c>
      <c r="O15">
        <v>2</v>
      </c>
      <c r="P15">
        <v>3</v>
      </c>
      <c r="Q15">
        <v>5</v>
      </c>
      <c r="R15" t="s">
        <v>72</v>
      </c>
      <c r="S15">
        <v>5</v>
      </c>
      <c r="T15">
        <v>4</v>
      </c>
      <c r="U15">
        <v>4</v>
      </c>
      <c r="V15">
        <v>3</v>
      </c>
      <c r="W15">
        <v>4</v>
      </c>
      <c r="X15">
        <v>3</v>
      </c>
    </row>
    <row r="16" spans="1:24" x14ac:dyDescent="0.35">
      <c r="A16" t="s">
        <v>89</v>
      </c>
      <c r="B16" t="s">
        <v>25</v>
      </c>
      <c r="C16" t="s">
        <v>90</v>
      </c>
      <c r="D16">
        <v>4</v>
      </c>
      <c r="E16" t="s">
        <v>77</v>
      </c>
      <c r="F16" t="s">
        <v>42</v>
      </c>
      <c r="G16">
        <v>4</v>
      </c>
      <c r="H16">
        <v>3</v>
      </c>
      <c r="I16">
        <v>1</v>
      </c>
      <c r="J16">
        <v>1</v>
      </c>
      <c r="K16">
        <v>5</v>
      </c>
      <c r="L16" t="s">
        <v>29</v>
      </c>
      <c r="M16" t="s">
        <v>91</v>
      </c>
      <c r="N16">
        <v>5</v>
      </c>
      <c r="O16">
        <v>3</v>
      </c>
      <c r="P16">
        <v>3</v>
      </c>
      <c r="Q16">
        <v>2</v>
      </c>
      <c r="R16" t="s">
        <v>68</v>
      </c>
      <c r="S16">
        <v>5</v>
      </c>
      <c r="T16">
        <v>3</v>
      </c>
      <c r="U16">
        <v>4</v>
      </c>
      <c r="V16">
        <v>3</v>
      </c>
      <c r="W16">
        <v>4</v>
      </c>
      <c r="X16">
        <v>3</v>
      </c>
    </row>
    <row r="17" spans="1:24" x14ac:dyDescent="0.35">
      <c r="A17" t="s">
        <v>92</v>
      </c>
      <c r="B17" t="s">
        <v>25</v>
      </c>
      <c r="C17" t="s">
        <v>55</v>
      </c>
      <c r="D17">
        <v>6</v>
      </c>
      <c r="E17" t="s">
        <v>74</v>
      </c>
      <c r="F17" t="s">
        <v>42</v>
      </c>
      <c r="G17">
        <v>3</v>
      </c>
      <c r="H17">
        <v>5</v>
      </c>
      <c r="I17">
        <v>2</v>
      </c>
      <c r="J17">
        <v>2</v>
      </c>
      <c r="K17">
        <v>5</v>
      </c>
      <c r="L17" t="s">
        <v>87</v>
      </c>
      <c r="M17" t="s">
        <v>93</v>
      </c>
      <c r="N17">
        <v>2</v>
      </c>
      <c r="O17">
        <v>5</v>
      </c>
      <c r="P17">
        <v>5</v>
      </c>
      <c r="Q17">
        <v>3</v>
      </c>
      <c r="R17" t="s">
        <v>94</v>
      </c>
      <c r="S17">
        <v>4</v>
      </c>
      <c r="T17">
        <v>4</v>
      </c>
      <c r="U17">
        <v>4</v>
      </c>
      <c r="V17">
        <v>4</v>
      </c>
      <c r="W17">
        <v>4</v>
      </c>
      <c r="X17">
        <v>5</v>
      </c>
    </row>
    <row r="18" spans="1:24" x14ac:dyDescent="0.35">
      <c r="A18" t="s">
        <v>95</v>
      </c>
      <c r="B18" t="s">
        <v>54</v>
      </c>
      <c r="C18" t="s">
        <v>55</v>
      </c>
      <c r="D18">
        <v>7</v>
      </c>
      <c r="E18" t="s">
        <v>96</v>
      </c>
      <c r="F18" t="s">
        <v>28</v>
      </c>
      <c r="G18">
        <v>3</v>
      </c>
      <c r="H18">
        <v>5</v>
      </c>
      <c r="I18">
        <v>1</v>
      </c>
      <c r="J18">
        <v>4</v>
      </c>
      <c r="K18">
        <v>4</v>
      </c>
      <c r="L18" t="s">
        <v>97</v>
      </c>
      <c r="M18" t="s">
        <v>98</v>
      </c>
      <c r="N18">
        <v>1</v>
      </c>
      <c r="O18">
        <v>3</v>
      </c>
      <c r="P18">
        <v>3</v>
      </c>
      <c r="Q18">
        <v>1</v>
      </c>
      <c r="R18" t="s">
        <v>99</v>
      </c>
      <c r="S18">
        <v>5</v>
      </c>
      <c r="T18">
        <v>4</v>
      </c>
      <c r="U18">
        <v>5</v>
      </c>
      <c r="V18">
        <v>4</v>
      </c>
      <c r="W18">
        <v>5</v>
      </c>
      <c r="X18">
        <v>3</v>
      </c>
    </row>
    <row r="19" spans="1:24" x14ac:dyDescent="0.35">
      <c r="A19" t="s">
        <v>100</v>
      </c>
      <c r="B19" t="s">
        <v>33</v>
      </c>
      <c r="C19" t="s">
        <v>90</v>
      </c>
      <c r="D19">
        <v>3</v>
      </c>
      <c r="E19" t="s">
        <v>101</v>
      </c>
      <c r="F19" t="s">
        <v>42</v>
      </c>
      <c r="G19">
        <v>5</v>
      </c>
      <c r="H19">
        <v>5</v>
      </c>
      <c r="I19">
        <v>3</v>
      </c>
      <c r="J19">
        <v>2</v>
      </c>
      <c r="K19">
        <v>4</v>
      </c>
      <c r="L19" t="s">
        <v>66</v>
      </c>
      <c r="M19" t="s">
        <v>102</v>
      </c>
      <c r="N19">
        <v>1</v>
      </c>
      <c r="O19">
        <v>2</v>
      </c>
      <c r="P19">
        <v>1</v>
      </c>
      <c r="Q19">
        <v>2</v>
      </c>
      <c r="R19" t="s">
        <v>99</v>
      </c>
      <c r="S19">
        <v>4</v>
      </c>
      <c r="T19">
        <v>3</v>
      </c>
      <c r="U19">
        <v>5</v>
      </c>
      <c r="V19">
        <v>3</v>
      </c>
      <c r="W19">
        <v>5</v>
      </c>
      <c r="X19">
        <v>5</v>
      </c>
    </row>
    <row r="20" spans="1:24" x14ac:dyDescent="0.35">
      <c r="A20" t="s">
        <v>103</v>
      </c>
      <c r="B20" t="s">
        <v>33</v>
      </c>
      <c r="C20" t="s">
        <v>55</v>
      </c>
      <c r="D20">
        <v>6</v>
      </c>
      <c r="E20" t="s">
        <v>104</v>
      </c>
      <c r="F20" t="s">
        <v>28</v>
      </c>
      <c r="G20">
        <v>3</v>
      </c>
      <c r="H20">
        <v>4</v>
      </c>
      <c r="I20">
        <v>2</v>
      </c>
      <c r="J20">
        <v>3</v>
      </c>
      <c r="K20">
        <v>4</v>
      </c>
      <c r="L20" t="s">
        <v>62</v>
      </c>
      <c r="M20" t="s">
        <v>105</v>
      </c>
      <c r="N20">
        <v>1</v>
      </c>
      <c r="O20">
        <v>1</v>
      </c>
      <c r="P20">
        <v>3</v>
      </c>
      <c r="Q20">
        <v>4</v>
      </c>
      <c r="R20" t="s">
        <v>84</v>
      </c>
      <c r="S20">
        <v>4</v>
      </c>
      <c r="T20">
        <v>3</v>
      </c>
      <c r="U20">
        <v>5</v>
      </c>
      <c r="V20">
        <v>4</v>
      </c>
      <c r="W20">
        <v>4</v>
      </c>
      <c r="X20">
        <v>4</v>
      </c>
    </row>
    <row r="21" spans="1:24" x14ac:dyDescent="0.35">
      <c r="A21" t="s">
        <v>106</v>
      </c>
      <c r="B21" t="s">
        <v>25</v>
      </c>
      <c r="C21" t="s">
        <v>107</v>
      </c>
      <c r="D21">
        <v>4</v>
      </c>
      <c r="E21" t="s">
        <v>108</v>
      </c>
      <c r="F21" t="s">
        <v>28</v>
      </c>
      <c r="G21">
        <v>4</v>
      </c>
      <c r="H21">
        <v>5</v>
      </c>
      <c r="I21">
        <v>3</v>
      </c>
      <c r="J21">
        <v>1</v>
      </c>
      <c r="K21">
        <v>5</v>
      </c>
      <c r="L21" t="s">
        <v>97</v>
      </c>
      <c r="M21" t="s">
        <v>109</v>
      </c>
      <c r="N21">
        <v>2</v>
      </c>
      <c r="O21">
        <v>5</v>
      </c>
      <c r="P21">
        <v>2</v>
      </c>
      <c r="Q21">
        <v>1</v>
      </c>
      <c r="R21" t="s">
        <v>99</v>
      </c>
      <c r="S21">
        <v>5</v>
      </c>
      <c r="T21">
        <v>4</v>
      </c>
      <c r="U21">
        <v>4</v>
      </c>
      <c r="V21">
        <v>3</v>
      </c>
      <c r="W21">
        <v>5</v>
      </c>
      <c r="X21">
        <v>5</v>
      </c>
    </row>
    <row r="22" spans="1:24" x14ac:dyDescent="0.35">
      <c r="A22" t="s">
        <v>110</v>
      </c>
      <c r="B22" t="s">
        <v>54</v>
      </c>
      <c r="C22" t="s">
        <v>26</v>
      </c>
      <c r="D22">
        <v>4</v>
      </c>
      <c r="E22" t="s">
        <v>27</v>
      </c>
      <c r="F22" t="s">
        <v>57</v>
      </c>
      <c r="G22">
        <v>5</v>
      </c>
      <c r="H22">
        <v>4</v>
      </c>
      <c r="I22">
        <v>3</v>
      </c>
      <c r="J22">
        <v>1</v>
      </c>
      <c r="K22">
        <v>4</v>
      </c>
      <c r="L22" t="s">
        <v>46</v>
      </c>
      <c r="M22" t="s">
        <v>111</v>
      </c>
      <c r="N22">
        <v>5</v>
      </c>
      <c r="O22">
        <v>2</v>
      </c>
      <c r="P22">
        <v>5</v>
      </c>
      <c r="Q22">
        <v>2</v>
      </c>
      <c r="R22" t="s">
        <v>99</v>
      </c>
      <c r="S22">
        <v>5</v>
      </c>
      <c r="T22">
        <v>3</v>
      </c>
      <c r="U22">
        <v>4</v>
      </c>
      <c r="V22">
        <v>4</v>
      </c>
      <c r="W22">
        <v>4</v>
      </c>
      <c r="X22">
        <v>5</v>
      </c>
    </row>
    <row r="23" spans="1:24" x14ac:dyDescent="0.35">
      <c r="A23" t="s">
        <v>112</v>
      </c>
      <c r="B23" t="s">
        <v>33</v>
      </c>
      <c r="C23" t="s">
        <v>34</v>
      </c>
      <c r="D23">
        <v>3</v>
      </c>
      <c r="E23" t="s">
        <v>113</v>
      </c>
      <c r="F23" t="s">
        <v>36</v>
      </c>
      <c r="G23">
        <v>4</v>
      </c>
      <c r="H23">
        <v>4</v>
      </c>
      <c r="I23">
        <v>3</v>
      </c>
      <c r="J23">
        <v>2</v>
      </c>
      <c r="K23">
        <v>5</v>
      </c>
      <c r="L23" t="s">
        <v>29</v>
      </c>
      <c r="M23" t="s">
        <v>114</v>
      </c>
      <c r="N23">
        <v>2</v>
      </c>
      <c r="O23">
        <v>1</v>
      </c>
      <c r="P23">
        <v>5</v>
      </c>
      <c r="Q23">
        <v>2</v>
      </c>
      <c r="R23" t="s">
        <v>52</v>
      </c>
      <c r="S23">
        <v>5</v>
      </c>
      <c r="T23">
        <v>4</v>
      </c>
      <c r="U23">
        <v>4</v>
      </c>
      <c r="V23">
        <v>3</v>
      </c>
      <c r="W23">
        <v>5</v>
      </c>
      <c r="X23">
        <v>3</v>
      </c>
    </row>
    <row r="24" spans="1:24" x14ac:dyDescent="0.35">
      <c r="A24" t="s">
        <v>115</v>
      </c>
      <c r="B24" t="s">
        <v>25</v>
      </c>
      <c r="C24" t="s">
        <v>55</v>
      </c>
      <c r="D24">
        <v>4</v>
      </c>
      <c r="E24" t="s">
        <v>77</v>
      </c>
      <c r="F24" t="s">
        <v>42</v>
      </c>
      <c r="G24">
        <v>4</v>
      </c>
      <c r="H24">
        <v>3</v>
      </c>
      <c r="I24">
        <v>2</v>
      </c>
      <c r="J24">
        <v>2</v>
      </c>
      <c r="K24">
        <v>4</v>
      </c>
      <c r="L24" t="s">
        <v>66</v>
      </c>
      <c r="M24" t="s">
        <v>116</v>
      </c>
      <c r="N24">
        <v>3</v>
      </c>
      <c r="O24">
        <v>5</v>
      </c>
      <c r="P24">
        <v>3</v>
      </c>
      <c r="Q24">
        <v>4</v>
      </c>
      <c r="R24" t="s">
        <v>79</v>
      </c>
      <c r="S24">
        <v>4</v>
      </c>
      <c r="T24">
        <v>3</v>
      </c>
      <c r="U24">
        <v>4</v>
      </c>
      <c r="V24">
        <v>4</v>
      </c>
      <c r="W24">
        <v>5</v>
      </c>
      <c r="X24">
        <v>4</v>
      </c>
    </row>
    <row r="25" spans="1:24" x14ac:dyDescent="0.35">
      <c r="A25" t="s">
        <v>117</v>
      </c>
      <c r="B25" t="s">
        <v>54</v>
      </c>
      <c r="C25" t="s">
        <v>26</v>
      </c>
      <c r="D25">
        <v>4</v>
      </c>
      <c r="E25" t="s">
        <v>118</v>
      </c>
      <c r="F25" t="s">
        <v>42</v>
      </c>
      <c r="G25">
        <v>5</v>
      </c>
      <c r="H25">
        <v>4</v>
      </c>
      <c r="I25">
        <v>1</v>
      </c>
      <c r="J25">
        <v>1</v>
      </c>
      <c r="K25">
        <v>4</v>
      </c>
      <c r="L25" t="s">
        <v>70</v>
      </c>
      <c r="M25" t="s">
        <v>119</v>
      </c>
      <c r="N25">
        <v>3</v>
      </c>
      <c r="O25">
        <v>3</v>
      </c>
      <c r="P25">
        <v>2</v>
      </c>
      <c r="Q25">
        <v>3</v>
      </c>
      <c r="R25" t="s">
        <v>79</v>
      </c>
      <c r="S25">
        <v>4</v>
      </c>
      <c r="T25">
        <v>3</v>
      </c>
      <c r="U25">
        <v>4</v>
      </c>
      <c r="V25">
        <v>5</v>
      </c>
      <c r="W25">
        <v>4</v>
      </c>
      <c r="X25">
        <v>5</v>
      </c>
    </row>
    <row r="26" spans="1:24" x14ac:dyDescent="0.35">
      <c r="A26" t="s">
        <v>120</v>
      </c>
      <c r="B26" t="s">
        <v>54</v>
      </c>
      <c r="C26" t="s">
        <v>26</v>
      </c>
      <c r="D26">
        <v>5</v>
      </c>
      <c r="E26" t="s">
        <v>121</v>
      </c>
      <c r="F26" t="s">
        <v>28</v>
      </c>
      <c r="G26">
        <v>3</v>
      </c>
      <c r="H26">
        <v>4</v>
      </c>
      <c r="I26">
        <v>1</v>
      </c>
      <c r="J26">
        <v>1</v>
      </c>
      <c r="K26">
        <v>4</v>
      </c>
      <c r="L26" t="s">
        <v>29</v>
      </c>
      <c r="M26" t="s">
        <v>122</v>
      </c>
      <c r="N26">
        <v>1</v>
      </c>
      <c r="O26">
        <v>4</v>
      </c>
      <c r="P26">
        <v>3</v>
      </c>
      <c r="Q26">
        <v>2</v>
      </c>
      <c r="R26" t="s">
        <v>52</v>
      </c>
      <c r="S26">
        <v>5</v>
      </c>
      <c r="T26">
        <v>4</v>
      </c>
      <c r="U26">
        <v>5</v>
      </c>
      <c r="V26">
        <v>3</v>
      </c>
      <c r="W26">
        <v>5</v>
      </c>
      <c r="X26">
        <v>4</v>
      </c>
    </row>
    <row r="27" spans="1:24" x14ac:dyDescent="0.35">
      <c r="A27" t="s">
        <v>123</v>
      </c>
      <c r="B27" t="s">
        <v>54</v>
      </c>
      <c r="C27" t="s">
        <v>26</v>
      </c>
      <c r="D27">
        <v>4</v>
      </c>
      <c r="E27" t="s">
        <v>124</v>
      </c>
      <c r="F27" t="s">
        <v>28</v>
      </c>
      <c r="G27">
        <v>5</v>
      </c>
      <c r="H27">
        <v>4</v>
      </c>
      <c r="I27">
        <v>3</v>
      </c>
      <c r="J27">
        <v>3</v>
      </c>
      <c r="K27">
        <v>4</v>
      </c>
      <c r="L27" t="s">
        <v>87</v>
      </c>
      <c r="M27" t="s">
        <v>125</v>
      </c>
      <c r="N27">
        <v>2</v>
      </c>
      <c r="O27">
        <v>3</v>
      </c>
      <c r="P27">
        <v>5</v>
      </c>
      <c r="Q27">
        <v>3</v>
      </c>
      <c r="R27" t="s">
        <v>31</v>
      </c>
      <c r="S27">
        <v>5</v>
      </c>
      <c r="T27">
        <v>3</v>
      </c>
      <c r="U27">
        <v>5</v>
      </c>
      <c r="V27">
        <v>3</v>
      </c>
      <c r="W27">
        <v>5</v>
      </c>
      <c r="X27">
        <v>5</v>
      </c>
    </row>
    <row r="28" spans="1:24" x14ac:dyDescent="0.35">
      <c r="A28" t="s">
        <v>126</v>
      </c>
      <c r="B28" t="s">
        <v>54</v>
      </c>
      <c r="C28" t="s">
        <v>55</v>
      </c>
      <c r="D28">
        <v>7</v>
      </c>
      <c r="E28" t="s">
        <v>127</v>
      </c>
      <c r="F28" t="s">
        <v>57</v>
      </c>
      <c r="G28">
        <v>4</v>
      </c>
      <c r="H28">
        <v>3</v>
      </c>
      <c r="I28">
        <v>3</v>
      </c>
      <c r="J28">
        <v>3</v>
      </c>
      <c r="K28">
        <v>5</v>
      </c>
      <c r="L28" t="s">
        <v>97</v>
      </c>
      <c r="M28" t="s">
        <v>128</v>
      </c>
      <c r="N28">
        <v>2</v>
      </c>
      <c r="O28">
        <v>3</v>
      </c>
      <c r="P28">
        <v>5</v>
      </c>
      <c r="Q28">
        <v>2</v>
      </c>
      <c r="R28" t="s">
        <v>94</v>
      </c>
      <c r="S28">
        <v>5</v>
      </c>
      <c r="T28">
        <v>4</v>
      </c>
      <c r="U28">
        <v>5</v>
      </c>
      <c r="V28">
        <v>3</v>
      </c>
      <c r="W28">
        <v>5</v>
      </c>
      <c r="X28">
        <v>3</v>
      </c>
    </row>
    <row r="29" spans="1:24" x14ac:dyDescent="0.35">
      <c r="A29" t="s">
        <v>129</v>
      </c>
      <c r="B29" t="s">
        <v>54</v>
      </c>
      <c r="C29" t="s">
        <v>55</v>
      </c>
      <c r="D29">
        <v>3</v>
      </c>
      <c r="E29" t="s">
        <v>130</v>
      </c>
      <c r="F29" t="s">
        <v>42</v>
      </c>
      <c r="G29">
        <v>5</v>
      </c>
      <c r="H29">
        <v>5</v>
      </c>
      <c r="I29">
        <v>1</v>
      </c>
      <c r="J29">
        <v>2</v>
      </c>
      <c r="K29">
        <v>4</v>
      </c>
      <c r="L29" t="s">
        <v>29</v>
      </c>
      <c r="M29" t="s">
        <v>131</v>
      </c>
      <c r="N29">
        <v>1</v>
      </c>
      <c r="O29">
        <v>3</v>
      </c>
      <c r="P29">
        <v>2</v>
      </c>
      <c r="Q29">
        <v>1</v>
      </c>
      <c r="R29" t="s">
        <v>39</v>
      </c>
      <c r="S29">
        <v>4</v>
      </c>
      <c r="T29">
        <v>3</v>
      </c>
      <c r="U29">
        <v>5</v>
      </c>
      <c r="V29">
        <v>3</v>
      </c>
      <c r="W29">
        <v>5</v>
      </c>
      <c r="X29">
        <v>4</v>
      </c>
    </row>
    <row r="30" spans="1:24" x14ac:dyDescent="0.35">
      <c r="A30" t="s">
        <v>132</v>
      </c>
      <c r="B30" t="s">
        <v>33</v>
      </c>
      <c r="C30" t="s">
        <v>34</v>
      </c>
      <c r="D30">
        <v>6</v>
      </c>
      <c r="E30" t="s">
        <v>49</v>
      </c>
      <c r="F30" t="s">
        <v>36</v>
      </c>
      <c r="G30">
        <v>5</v>
      </c>
      <c r="H30">
        <v>4</v>
      </c>
      <c r="I30">
        <v>3</v>
      </c>
      <c r="J30">
        <v>1</v>
      </c>
      <c r="K30">
        <v>5</v>
      </c>
      <c r="L30" t="s">
        <v>50</v>
      </c>
      <c r="M30" t="s">
        <v>133</v>
      </c>
      <c r="N30">
        <v>1</v>
      </c>
      <c r="O30">
        <v>5</v>
      </c>
      <c r="P30">
        <v>5</v>
      </c>
      <c r="Q30">
        <v>4</v>
      </c>
      <c r="R30" t="s">
        <v>84</v>
      </c>
      <c r="S30">
        <v>4</v>
      </c>
      <c r="T30">
        <v>5</v>
      </c>
      <c r="U30">
        <v>4</v>
      </c>
      <c r="V30">
        <v>5</v>
      </c>
      <c r="W30">
        <v>4</v>
      </c>
      <c r="X30">
        <v>5</v>
      </c>
    </row>
    <row r="31" spans="1:24" x14ac:dyDescent="0.35">
      <c r="A31" t="s">
        <v>134</v>
      </c>
      <c r="B31" t="s">
        <v>54</v>
      </c>
      <c r="C31" t="s">
        <v>34</v>
      </c>
      <c r="D31">
        <v>7</v>
      </c>
      <c r="E31" t="s">
        <v>135</v>
      </c>
      <c r="F31" t="s">
        <v>36</v>
      </c>
      <c r="G31">
        <v>5</v>
      </c>
      <c r="H31">
        <v>4</v>
      </c>
      <c r="I31">
        <v>2</v>
      </c>
      <c r="J31">
        <v>2</v>
      </c>
      <c r="K31">
        <v>4</v>
      </c>
      <c r="L31" t="s">
        <v>37</v>
      </c>
      <c r="M31" t="s">
        <v>136</v>
      </c>
      <c r="N31">
        <v>5</v>
      </c>
      <c r="O31">
        <v>4</v>
      </c>
      <c r="P31">
        <v>1</v>
      </c>
      <c r="Q31">
        <v>4</v>
      </c>
      <c r="R31" t="s">
        <v>52</v>
      </c>
      <c r="S31">
        <v>4</v>
      </c>
      <c r="T31">
        <v>5</v>
      </c>
      <c r="U31">
        <v>4</v>
      </c>
      <c r="V31">
        <v>4</v>
      </c>
      <c r="W31">
        <v>4</v>
      </c>
      <c r="X31">
        <v>4</v>
      </c>
    </row>
    <row r="32" spans="1:24" x14ac:dyDescent="0.35">
      <c r="A32" t="s">
        <v>137</v>
      </c>
      <c r="B32" t="s">
        <v>33</v>
      </c>
      <c r="C32" t="s">
        <v>55</v>
      </c>
      <c r="D32">
        <v>3</v>
      </c>
      <c r="E32" t="s">
        <v>130</v>
      </c>
      <c r="F32" t="s">
        <v>42</v>
      </c>
      <c r="G32">
        <v>4</v>
      </c>
      <c r="H32">
        <v>4</v>
      </c>
      <c r="I32">
        <v>2</v>
      </c>
      <c r="J32">
        <v>2</v>
      </c>
      <c r="K32">
        <v>5</v>
      </c>
      <c r="L32" t="s">
        <v>29</v>
      </c>
      <c r="M32" t="s">
        <v>138</v>
      </c>
      <c r="N32">
        <v>1</v>
      </c>
      <c r="O32">
        <v>1</v>
      </c>
      <c r="P32">
        <v>1</v>
      </c>
      <c r="Q32">
        <v>5</v>
      </c>
      <c r="R32" t="s">
        <v>31</v>
      </c>
      <c r="S32">
        <v>5</v>
      </c>
      <c r="T32">
        <v>5</v>
      </c>
      <c r="U32">
        <v>4</v>
      </c>
      <c r="V32">
        <v>4</v>
      </c>
      <c r="W32">
        <v>5</v>
      </c>
      <c r="X32">
        <v>4</v>
      </c>
    </row>
    <row r="33" spans="1:24" x14ac:dyDescent="0.35">
      <c r="A33" t="s">
        <v>139</v>
      </c>
      <c r="B33" t="s">
        <v>33</v>
      </c>
      <c r="C33" t="s">
        <v>26</v>
      </c>
      <c r="D33">
        <v>5</v>
      </c>
      <c r="E33" t="s">
        <v>140</v>
      </c>
      <c r="F33" t="s">
        <v>57</v>
      </c>
      <c r="G33">
        <v>4</v>
      </c>
      <c r="H33">
        <v>5</v>
      </c>
      <c r="I33">
        <v>3</v>
      </c>
      <c r="J33">
        <v>1</v>
      </c>
      <c r="K33">
        <v>5</v>
      </c>
      <c r="L33" t="s">
        <v>50</v>
      </c>
      <c r="M33" t="s">
        <v>141</v>
      </c>
      <c r="N33">
        <v>3</v>
      </c>
      <c r="O33">
        <v>2</v>
      </c>
      <c r="P33">
        <v>1</v>
      </c>
      <c r="Q33">
        <v>3</v>
      </c>
      <c r="R33" t="s">
        <v>99</v>
      </c>
      <c r="S33">
        <v>5</v>
      </c>
      <c r="T33">
        <v>3</v>
      </c>
      <c r="U33">
        <v>4</v>
      </c>
      <c r="V33">
        <v>3</v>
      </c>
      <c r="W33">
        <v>4</v>
      </c>
      <c r="X33">
        <v>4</v>
      </c>
    </row>
    <row r="34" spans="1:24" x14ac:dyDescent="0.35">
      <c r="A34" t="s">
        <v>142</v>
      </c>
      <c r="B34" t="s">
        <v>54</v>
      </c>
      <c r="C34" t="s">
        <v>26</v>
      </c>
      <c r="D34">
        <v>6</v>
      </c>
      <c r="E34" t="s">
        <v>143</v>
      </c>
      <c r="F34" t="s">
        <v>42</v>
      </c>
      <c r="G34">
        <v>3</v>
      </c>
      <c r="H34">
        <v>3</v>
      </c>
      <c r="I34">
        <v>2</v>
      </c>
      <c r="J34">
        <v>1</v>
      </c>
      <c r="K34">
        <v>4</v>
      </c>
      <c r="L34" t="s">
        <v>87</v>
      </c>
      <c r="M34" t="s">
        <v>144</v>
      </c>
      <c r="N34">
        <v>3</v>
      </c>
      <c r="O34">
        <v>1</v>
      </c>
      <c r="P34">
        <v>4</v>
      </c>
      <c r="Q34">
        <v>5</v>
      </c>
      <c r="R34" t="s">
        <v>68</v>
      </c>
      <c r="S34">
        <v>4</v>
      </c>
      <c r="T34">
        <v>4</v>
      </c>
      <c r="U34">
        <v>5</v>
      </c>
      <c r="V34">
        <v>3</v>
      </c>
      <c r="W34">
        <v>4</v>
      </c>
      <c r="X34">
        <v>5</v>
      </c>
    </row>
    <row r="35" spans="1:24" x14ac:dyDescent="0.35">
      <c r="A35" t="s">
        <v>145</v>
      </c>
      <c r="B35" t="s">
        <v>54</v>
      </c>
      <c r="C35" t="s">
        <v>55</v>
      </c>
      <c r="D35">
        <v>4</v>
      </c>
      <c r="E35" t="s">
        <v>146</v>
      </c>
      <c r="F35" t="s">
        <v>57</v>
      </c>
      <c r="G35">
        <v>5</v>
      </c>
      <c r="H35">
        <v>4</v>
      </c>
      <c r="I35">
        <v>1</v>
      </c>
      <c r="J35">
        <v>4</v>
      </c>
      <c r="K35">
        <v>4</v>
      </c>
      <c r="L35" t="s">
        <v>58</v>
      </c>
      <c r="M35" t="s">
        <v>147</v>
      </c>
      <c r="N35">
        <v>3</v>
      </c>
      <c r="O35">
        <v>1</v>
      </c>
      <c r="P35">
        <v>2</v>
      </c>
      <c r="Q35">
        <v>1</v>
      </c>
      <c r="R35" t="s">
        <v>94</v>
      </c>
      <c r="S35">
        <v>5</v>
      </c>
      <c r="T35">
        <v>4</v>
      </c>
      <c r="U35">
        <v>5</v>
      </c>
      <c r="V35">
        <v>5</v>
      </c>
      <c r="W35">
        <v>4</v>
      </c>
      <c r="X35">
        <v>5</v>
      </c>
    </row>
    <row r="36" spans="1:24" x14ac:dyDescent="0.35">
      <c r="A36" t="s">
        <v>148</v>
      </c>
      <c r="B36" t="s">
        <v>54</v>
      </c>
      <c r="C36" t="s">
        <v>34</v>
      </c>
      <c r="D36">
        <v>7</v>
      </c>
      <c r="E36" t="s">
        <v>149</v>
      </c>
      <c r="F36" t="s">
        <v>36</v>
      </c>
      <c r="G36">
        <v>3</v>
      </c>
      <c r="H36">
        <v>3</v>
      </c>
      <c r="I36">
        <v>2</v>
      </c>
      <c r="J36">
        <v>2</v>
      </c>
      <c r="K36">
        <v>4</v>
      </c>
      <c r="L36" t="s">
        <v>70</v>
      </c>
      <c r="M36" t="s">
        <v>150</v>
      </c>
      <c r="N36">
        <v>3</v>
      </c>
      <c r="O36">
        <v>2</v>
      </c>
      <c r="P36">
        <v>3</v>
      </c>
      <c r="Q36">
        <v>3</v>
      </c>
      <c r="R36" t="s">
        <v>99</v>
      </c>
      <c r="S36">
        <v>5</v>
      </c>
      <c r="T36">
        <v>5</v>
      </c>
      <c r="U36">
        <v>4</v>
      </c>
      <c r="V36">
        <v>5</v>
      </c>
      <c r="W36">
        <v>5</v>
      </c>
      <c r="X36">
        <v>5</v>
      </c>
    </row>
    <row r="37" spans="1:24" x14ac:dyDescent="0.35">
      <c r="A37" t="s">
        <v>151</v>
      </c>
      <c r="B37" t="s">
        <v>33</v>
      </c>
      <c r="C37" t="s">
        <v>26</v>
      </c>
      <c r="D37">
        <v>6</v>
      </c>
      <c r="E37" t="s">
        <v>152</v>
      </c>
      <c r="F37" t="s">
        <v>57</v>
      </c>
      <c r="G37">
        <v>3</v>
      </c>
      <c r="H37">
        <v>5</v>
      </c>
      <c r="I37">
        <v>2</v>
      </c>
      <c r="J37">
        <v>3</v>
      </c>
      <c r="K37">
        <v>4</v>
      </c>
      <c r="L37" t="s">
        <v>58</v>
      </c>
      <c r="M37" t="s">
        <v>153</v>
      </c>
      <c r="N37">
        <v>4</v>
      </c>
      <c r="O37">
        <v>4</v>
      </c>
      <c r="P37">
        <v>1</v>
      </c>
      <c r="Q37">
        <v>4</v>
      </c>
      <c r="R37" t="s">
        <v>99</v>
      </c>
      <c r="S37">
        <v>5</v>
      </c>
      <c r="T37">
        <v>3</v>
      </c>
      <c r="U37">
        <v>5</v>
      </c>
      <c r="V37">
        <v>5</v>
      </c>
      <c r="W37">
        <v>4</v>
      </c>
      <c r="X37">
        <v>5</v>
      </c>
    </row>
    <row r="38" spans="1:24" x14ac:dyDescent="0.35">
      <c r="A38" t="s">
        <v>154</v>
      </c>
      <c r="B38" t="s">
        <v>25</v>
      </c>
      <c r="C38" t="s">
        <v>26</v>
      </c>
      <c r="D38">
        <v>6</v>
      </c>
      <c r="E38" t="s">
        <v>155</v>
      </c>
      <c r="F38" t="s">
        <v>28</v>
      </c>
      <c r="G38">
        <v>5</v>
      </c>
      <c r="H38">
        <v>4</v>
      </c>
      <c r="I38">
        <v>2</v>
      </c>
      <c r="J38">
        <v>1</v>
      </c>
      <c r="K38">
        <v>4</v>
      </c>
      <c r="L38" t="s">
        <v>87</v>
      </c>
      <c r="M38" t="s">
        <v>156</v>
      </c>
      <c r="N38">
        <v>3</v>
      </c>
      <c r="O38">
        <v>1</v>
      </c>
      <c r="P38">
        <v>4</v>
      </c>
      <c r="Q38">
        <v>1</v>
      </c>
      <c r="R38" t="s">
        <v>99</v>
      </c>
      <c r="S38">
        <v>4</v>
      </c>
      <c r="T38">
        <v>5</v>
      </c>
      <c r="U38">
        <v>4</v>
      </c>
      <c r="V38">
        <v>4</v>
      </c>
      <c r="W38">
        <v>5</v>
      </c>
      <c r="X38">
        <v>5</v>
      </c>
    </row>
    <row r="39" spans="1:24" x14ac:dyDescent="0.35">
      <c r="A39" t="s">
        <v>157</v>
      </c>
      <c r="B39" t="s">
        <v>54</v>
      </c>
      <c r="C39" t="s">
        <v>26</v>
      </c>
      <c r="D39">
        <v>7</v>
      </c>
      <c r="E39" t="s">
        <v>143</v>
      </c>
      <c r="F39" t="s">
        <v>42</v>
      </c>
      <c r="G39">
        <v>3</v>
      </c>
      <c r="H39">
        <v>3</v>
      </c>
      <c r="I39">
        <v>1</v>
      </c>
      <c r="J39">
        <v>2</v>
      </c>
      <c r="K39">
        <v>4</v>
      </c>
      <c r="L39" t="s">
        <v>97</v>
      </c>
      <c r="M39" t="s">
        <v>158</v>
      </c>
      <c r="N39">
        <v>4</v>
      </c>
      <c r="O39">
        <v>2</v>
      </c>
      <c r="P39">
        <v>2</v>
      </c>
      <c r="Q39">
        <v>2</v>
      </c>
      <c r="R39" t="s">
        <v>44</v>
      </c>
      <c r="S39">
        <v>4</v>
      </c>
      <c r="T39">
        <v>5</v>
      </c>
      <c r="U39">
        <v>4</v>
      </c>
      <c r="V39">
        <v>3</v>
      </c>
      <c r="W39">
        <v>4</v>
      </c>
      <c r="X39">
        <v>4</v>
      </c>
    </row>
    <row r="40" spans="1:24" x14ac:dyDescent="0.35">
      <c r="A40" t="s">
        <v>159</v>
      </c>
      <c r="B40" t="s">
        <v>25</v>
      </c>
      <c r="C40" t="s">
        <v>34</v>
      </c>
      <c r="D40">
        <v>5</v>
      </c>
      <c r="E40" t="s">
        <v>160</v>
      </c>
      <c r="F40" t="s">
        <v>36</v>
      </c>
      <c r="G40">
        <v>3</v>
      </c>
      <c r="H40">
        <v>3</v>
      </c>
      <c r="I40">
        <v>3</v>
      </c>
      <c r="J40">
        <v>2</v>
      </c>
      <c r="K40">
        <v>4</v>
      </c>
      <c r="L40" t="s">
        <v>46</v>
      </c>
      <c r="M40" t="s">
        <v>161</v>
      </c>
      <c r="N40">
        <v>5</v>
      </c>
      <c r="O40">
        <v>3</v>
      </c>
      <c r="P40">
        <v>2</v>
      </c>
      <c r="Q40">
        <v>1</v>
      </c>
      <c r="R40" t="s">
        <v>72</v>
      </c>
      <c r="S40">
        <v>5</v>
      </c>
      <c r="T40">
        <v>5</v>
      </c>
      <c r="U40">
        <v>4</v>
      </c>
      <c r="V40">
        <v>3</v>
      </c>
      <c r="W40">
        <v>5</v>
      </c>
      <c r="X40">
        <v>4</v>
      </c>
    </row>
    <row r="41" spans="1:24" x14ac:dyDescent="0.35">
      <c r="A41" t="s">
        <v>162</v>
      </c>
      <c r="B41" t="s">
        <v>33</v>
      </c>
      <c r="C41" t="s">
        <v>34</v>
      </c>
      <c r="D41">
        <v>6</v>
      </c>
      <c r="E41" t="s">
        <v>163</v>
      </c>
      <c r="F41" t="s">
        <v>36</v>
      </c>
      <c r="G41">
        <v>3</v>
      </c>
      <c r="H41">
        <v>4</v>
      </c>
      <c r="I41">
        <v>3</v>
      </c>
      <c r="J41">
        <v>3</v>
      </c>
      <c r="K41">
        <v>4</v>
      </c>
      <c r="L41" t="s">
        <v>29</v>
      </c>
      <c r="M41" t="s">
        <v>164</v>
      </c>
      <c r="N41">
        <v>2</v>
      </c>
      <c r="O41">
        <v>1</v>
      </c>
      <c r="P41">
        <v>2</v>
      </c>
      <c r="Q41">
        <v>5</v>
      </c>
      <c r="R41" t="s">
        <v>72</v>
      </c>
      <c r="S41">
        <v>5</v>
      </c>
      <c r="T41">
        <v>3</v>
      </c>
      <c r="U41">
        <v>4</v>
      </c>
      <c r="V41">
        <v>5</v>
      </c>
      <c r="W41">
        <v>4</v>
      </c>
      <c r="X41">
        <v>4</v>
      </c>
    </row>
    <row r="42" spans="1:24" x14ac:dyDescent="0.35">
      <c r="A42" t="s">
        <v>165</v>
      </c>
      <c r="B42" t="s">
        <v>54</v>
      </c>
      <c r="C42" t="s">
        <v>26</v>
      </c>
      <c r="D42">
        <v>3</v>
      </c>
      <c r="E42" t="s">
        <v>166</v>
      </c>
      <c r="F42" t="s">
        <v>42</v>
      </c>
      <c r="G42">
        <v>5</v>
      </c>
      <c r="H42">
        <v>4</v>
      </c>
      <c r="I42">
        <v>1</v>
      </c>
      <c r="J42">
        <v>2</v>
      </c>
      <c r="K42">
        <v>4</v>
      </c>
      <c r="L42" t="s">
        <v>66</v>
      </c>
      <c r="M42" t="s">
        <v>167</v>
      </c>
      <c r="N42">
        <v>5</v>
      </c>
      <c r="O42">
        <v>2</v>
      </c>
      <c r="P42">
        <v>2</v>
      </c>
      <c r="Q42">
        <v>4</v>
      </c>
      <c r="R42" t="s">
        <v>52</v>
      </c>
      <c r="S42">
        <v>4</v>
      </c>
      <c r="T42">
        <v>3</v>
      </c>
      <c r="U42">
        <v>4</v>
      </c>
      <c r="V42">
        <v>5</v>
      </c>
      <c r="W42">
        <v>4</v>
      </c>
      <c r="X42">
        <v>5</v>
      </c>
    </row>
    <row r="43" spans="1:24" x14ac:dyDescent="0.35">
      <c r="A43" t="s">
        <v>168</v>
      </c>
      <c r="B43" t="s">
        <v>54</v>
      </c>
      <c r="C43" t="s">
        <v>34</v>
      </c>
      <c r="D43">
        <v>6</v>
      </c>
      <c r="E43" t="s">
        <v>169</v>
      </c>
      <c r="F43" t="s">
        <v>36</v>
      </c>
      <c r="G43">
        <v>3</v>
      </c>
      <c r="H43">
        <v>5</v>
      </c>
      <c r="I43">
        <v>1</v>
      </c>
      <c r="J43">
        <v>1</v>
      </c>
      <c r="K43">
        <v>5</v>
      </c>
      <c r="L43" t="s">
        <v>29</v>
      </c>
      <c r="M43" t="s">
        <v>170</v>
      </c>
      <c r="N43">
        <v>2</v>
      </c>
      <c r="O43">
        <v>2</v>
      </c>
      <c r="P43">
        <v>4</v>
      </c>
      <c r="Q43">
        <v>2</v>
      </c>
      <c r="R43" t="s">
        <v>84</v>
      </c>
      <c r="S43">
        <v>4</v>
      </c>
      <c r="T43">
        <v>4</v>
      </c>
      <c r="U43">
        <v>4</v>
      </c>
      <c r="V43">
        <v>5</v>
      </c>
      <c r="W43">
        <v>4</v>
      </c>
      <c r="X43">
        <v>5</v>
      </c>
    </row>
    <row r="44" spans="1:24" x14ac:dyDescent="0.35">
      <c r="A44" t="s">
        <v>171</v>
      </c>
      <c r="B44" t="s">
        <v>33</v>
      </c>
      <c r="C44" t="s">
        <v>26</v>
      </c>
      <c r="D44">
        <v>4</v>
      </c>
      <c r="E44" t="s">
        <v>172</v>
      </c>
      <c r="F44" t="s">
        <v>28</v>
      </c>
      <c r="G44">
        <v>5</v>
      </c>
      <c r="H44">
        <v>5</v>
      </c>
      <c r="I44">
        <v>2</v>
      </c>
      <c r="J44">
        <v>3</v>
      </c>
      <c r="K44">
        <v>5</v>
      </c>
      <c r="L44" t="s">
        <v>62</v>
      </c>
      <c r="M44" t="s">
        <v>173</v>
      </c>
      <c r="N44">
        <v>4</v>
      </c>
      <c r="O44">
        <v>2</v>
      </c>
      <c r="P44">
        <v>2</v>
      </c>
      <c r="Q44">
        <v>5</v>
      </c>
      <c r="R44" t="s">
        <v>84</v>
      </c>
      <c r="S44">
        <v>4</v>
      </c>
      <c r="T44">
        <v>3</v>
      </c>
      <c r="U44">
        <v>5</v>
      </c>
      <c r="V44">
        <v>5</v>
      </c>
      <c r="W44">
        <v>5</v>
      </c>
      <c r="X44">
        <v>5</v>
      </c>
    </row>
    <row r="45" spans="1:24" x14ac:dyDescent="0.35">
      <c r="A45" t="s">
        <v>174</v>
      </c>
      <c r="B45" t="s">
        <v>25</v>
      </c>
      <c r="C45" t="s">
        <v>55</v>
      </c>
      <c r="D45">
        <v>4</v>
      </c>
      <c r="E45" t="s">
        <v>175</v>
      </c>
      <c r="F45" t="s">
        <v>42</v>
      </c>
      <c r="G45">
        <v>5</v>
      </c>
      <c r="H45">
        <v>5</v>
      </c>
      <c r="I45">
        <v>3</v>
      </c>
      <c r="J45">
        <v>1</v>
      </c>
      <c r="K45">
        <v>4</v>
      </c>
      <c r="L45" t="s">
        <v>29</v>
      </c>
      <c r="M45" t="s">
        <v>176</v>
      </c>
      <c r="N45">
        <v>2</v>
      </c>
      <c r="O45">
        <v>4</v>
      </c>
      <c r="P45">
        <v>3</v>
      </c>
      <c r="Q45">
        <v>1</v>
      </c>
      <c r="R45" t="s">
        <v>72</v>
      </c>
      <c r="S45">
        <v>4</v>
      </c>
      <c r="T45">
        <v>3</v>
      </c>
      <c r="U45">
        <v>4</v>
      </c>
      <c r="V45">
        <v>3</v>
      </c>
      <c r="W45">
        <v>5</v>
      </c>
      <c r="X45">
        <v>4</v>
      </c>
    </row>
    <row r="46" spans="1:24" x14ac:dyDescent="0.35">
      <c r="A46" t="s">
        <v>177</v>
      </c>
      <c r="B46" t="s">
        <v>33</v>
      </c>
      <c r="C46" t="s">
        <v>55</v>
      </c>
      <c r="D46">
        <v>5</v>
      </c>
      <c r="E46" t="s">
        <v>178</v>
      </c>
      <c r="F46" t="s">
        <v>28</v>
      </c>
      <c r="G46">
        <v>4</v>
      </c>
      <c r="H46">
        <v>4</v>
      </c>
      <c r="I46">
        <v>2</v>
      </c>
      <c r="J46">
        <v>3</v>
      </c>
      <c r="K46">
        <v>5</v>
      </c>
      <c r="L46" t="s">
        <v>50</v>
      </c>
      <c r="M46" t="s">
        <v>179</v>
      </c>
      <c r="N46">
        <v>2</v>
      </c>
      <c r="O46">
        <v>2</v>
      </c>
      <c r="P46">
        <v>5</v>
      </c>
      <c r="Q46">
        <v>5</v>
      </c>
      <c r="R46" t="s">
        <v>79</v>
      </c>
      <c r="S46">
        <v>5</v>
      </c>
      <c r="T46">
        <v>3</v>
      </c>
      <c r="U46">
        <v>5</v>
      </c>
      <c r="V46">
        <v>3</v>
      </c>
      <c r="W46">
        <v>5</v>
      </c>
      <c r="X46">
        <v>5</v>
      </c>
    </row>
    <row r="47" spans="1:24" x14ac:dyDescent="0.35">
      <c r="A47" t="s">
        <v>180</v>
      </c>
      <c r="B47" t="s">
        <v>25</v>
      </c>
      <c r="C47" t="s">
        <v>90</v>
      </c>
      <c r="D47">
        <v>7</v>
      </c>
      <c r="E47" t="s">
        <v>181</v>
      </c>
      <c r="F47" t="s">
        <v>42</v>
      </c>
      <c r="G47">
        <v>5</v>
      </c>
      <c r="H47">
        <v>5</v>
      </c>
      <c r="I47">
        <v>1</v>
      </c>
      <c r="J47">
        <v>3</v>
      </c>
      <c r="K47">
        <v>4</v>
      </c>
      <c r="L47" t="s">
        <v>70</v>
      </c>
      <c r="M47" t="s">
        <v>182</v>
      </c>
      <c r="N47">
        <v>3</v>
      </c>
      <c r="O47">
        <v>4</v>
      </c>
      <c r="P47">
        <v>3</v>
      </c>
      <c r="Q47">
        <v>2</v>
      </c>
      <c r="R47" t="s">
        <v>31</v>
      </c>
      <c r="S47">
        <v>4</v>
      </c>
      <c r="T47">
        <v>5</v>
      </c>
      <c r="U47">
        <v>4</v>
      </c>
      <c r="V47">
        <v>4</v>
      </c>
      <c r="W47">
        <v>4</v>
      </c>
      <c r="X47">
        <v>5</v>
      </c>
    </row>
    <row r="48" spans="1:24" x14ac:dyDescent="0.35">
      <c r="A48" t="s">
        <v>183</v>
      </c>
      <c r="B48" t="s">
        <v>33</v>
      </c>
      <c r="C48" t="s">
        <v>34</v>
      </c>
      <c r="D48">
        <v>5</v>
      </c>
      <c r="E48" t="s">
        <v>184</v>
      </c>
      <c r="F48" t="s">
        <v>36</v>
      </c>
      <c r="G48">
        <v>5</v>
      </c>
      <c r="H48">
        <v>5</v>
      </c>
      <c r="I48">
        <v>2</v>
      </c>
      <c r="J48">
        <v>4</v>
      </c>
      <c r="K48">
        <v>4</v>
      </c>
      <c r="L48" t="s">
        <v>46</v>
      </c>
      <c r="M48" t="s">
        <v>47</v>
      </c>
      <c r="N48">
        <v>1</v>
      </c>
      <c r="O48">
        <v>4</v>
      </c>
      <c r="P48">
        <v>5</v>
      </c>
      <c r="Q48">
        <v>2</v>
      </c>
      <c r="R48" t="s">
        <v>52</v>
      </c>
      <c r="S48">
        <v>5</v>
      </c>
      <c r="T48">
        <v>4</v>
      </c>
      <c r="U48">
        <v>5</v>
      </c>
      <c r="V48">
        <v>5</v>
      </c>
      <c r="W48">
        <v>5</v>
      </c>
      <c r="X48">
        <v>3</v>
      </c>
    </row>
    <row r="49" spans="1:24" x14ac:dyDescent="0.35">
      <c r="A49" t="s">
        <v>185</v>
      </c>
      <c r="B49" t="s">
        <v>33</v>
      </c>
      <c r="C49" t="s">
        <v>26</v>
      </c>
      <c r="D49">
        <v>3</v>
      </c>
      <c r="E49" t="s">
        <v>184</v>
      </c>
      <c r="F49" t="s">
        <v>42</v>
      </c>
      <c r="G49">
        <v>4</v>
      </c>
      <c r="H49">
        <v>5</v>
      </c>
      <c r="I49">
        <v>3</v>
      </c>
      <c r="J49">
        <v>1</v>
      </c>
      <c r="K49">
        <v>4</v>
      </c>
      <c r="L49" t="s">
        <v>62</v>
      </c>
      <c r="M49" t="s">
        <v>186</v>
      </c>
      <c r="N49">
        <v>3</v>
      </c>
      <c r="O49">
        <v>4</v>
      </c>
      <c r="P49">
        <v>2</v>
      </c>
      <c r="Q49">
        <v>1</v>
      </c>
      <c r="R49" t="s">
        <v>31</v>
      </c>
      <c r="S49">
        <v>4</v>
      </c>
      <c r="T49">
        <v>3</v>
      </c>
      <c r="U49">
        <v>5</v>
      </c>
      <c r="V49">
        <v>3</v>
      </c>
      <c r="W49">
        <v>4</v>
      </c>
      <c r="X49">
        <v>5</v>
      </c>
    </row>
    <row r="50" spans="1:24" x14ac:dyDescent="0.35">
      <c r="A50" t="s">
        <v>187</v>
      </c>
      <c r="B50" t="s">
        <v>54</v>
      </c>
      <c r="C50" t="s">
        <v>26</v>
      </c>
      <c r="D50">
        <v>6</v>
      </c>
      <c r="E50" t="s">
        <v>77</v>
      </c>
      <c r="F50" t="s">
        <v>28</v>
      </c>
      <c r="G50">
        <v>5</v>
      </c>
      <c r="H50">
        <v>4</v>
      </c>
      <c r="I50">
        <v>3</v>
      </c>
      <c r="J50">
        <v>3</v>
      </c>
      <c r="K50">
        <v>4</v>
      </c>
      <c r="L50" t="s">
        <v>87</v>
      </c>
      <c r="M50" t="s">
        <v>188</v>
      </c>
      <c r="N50">
        <v>4</v>
      </c>
      <c r="O50">
        <v>2</v>
      </c>
      <c r="P50">
        <v>2</v>
      </c>
      <c r="Q50">
        <v>4</v>
      </c>
      <c r="R50" t="s">
        <v>99</v>
      </c>
      <c r="S50">
        <v>4</v>
      </c>
      <c r="T50">
        <v>3</v>
      </c>
      <c r="U50">
        <v>5</v>
      </c>
      <c r="V50">
        <v>4</v>
      </c>
      <c r="W50">
        <v>4</v>
      </c>
      <c r="X50">
        <v>4</v>
      </c>
    </row>
    <row r="51" spans="1:24" x14ac:dyDescent="0.35">
      <c r="A51" t="s">
        <v>189</v>
      </c>
      <c r="B51" t="s">
        <v>54</v>
      </c>
      <c r="C51" t="s">
        <v>34</v>
      </c>
      <c r="D51">
        <v>6</v>
      </c>
      <c r="E51" t="s">
        <v>149</v>
      </c>
      <c r="F51" t="s">
        <v>36</v>
      </c>
      <c r="G51">
        <v>3</v>
      </c>
      <c r="H51">
        <v>3</v>
      </c>
      <c r="I51">
        <v>2</v>
      </c>
      <c r="J51">
        <v>2</v>
      </c>
      <c r="K51">
        <v>4</v>
      </c>
      <c r="L51" t="s">
        <v>46</v>
      </c>
      <c r="M51" t="s">
        <v>190</v>
      </c>
      <c r="N51">
        <v>3</v>
      </c>
      <c r="O51">
        <v>3</v>
      </c>
      <c r="P51">
        <v>5</v>
      </c>
      <c r="Q51">
        <v>4</v>
      </c>
      <c r="R51" t="s">
        <v>79</v>
      </c>
      <c r="S51">
        <v>4</v>
      </c>
      <c r="T51">
        <v>5</v>
      </c>
      <c r="U51">
        <v>5</v>
      </c>
      <c r="V51">
        <v>5</v>
      </c>
      <c r="W51">
        <v>4</v>
      </c>
      <c r="X51">
        <v>4</v>
      </c>
    </row>
    <row r="52" spans="1:24" x14ac:dyDescent="0.35">
      <c r="A52" t="s">
        <v>191</v>
      </c>
      <c r="B52" t="s">
        <v>54</v>
      </c>
      <c r="C52" t="s">
        <v>90</v>
      </c>
      <c r="D52">
        <v>5</v>
      </c>
      <c r="E52" t="s">
        <v>192</v>
      </c>
      <c r="F52" t="s">
        <v>42</v>
      </c>
      <c r="G52">
        <v>5</v>
      </c>
      <c r="H52">
        <v>5</v>
      </c>
      <c r="I52">
        <v>1</v>
      </c>
      <c r="J52">
        <v>4</v>
      </c>
      <c r="K52">
        <v>5</v>
      </c>
      <c r="L52" t="s">
        <v>46</v>
      </c>
      <c r="M52" t="s">
        <v>193</v>
      </c>
      <c r="N52">
        <v>4</v>
      </c>
      <c r="O52">
        <v>3</v>
      </c>
      <c r="P52">
        <v>2</v>
      </c>
      <c r="Q52">
        <v>2</v>
      </c>
      <c r="R52" t="s">
        <v>94</v>
      </c>
      <c r="S52">
        <v>4</v>
      </c>
      <c r="T52">
        <v>3</v>
      </c>
      <c r="U52">
        <v>4</v>
      </c>
      <c r="V52">
        <v>5</v>
      </c>
      <c r="W52">
        <v>4</v>
      </c>
      <c r="X52">
        <v>5</v>
      </c>
    </row>
    <row r="53" spans="1:24" x14ac:dyDescent="0.35">
      <c r="A53" t="s">
        <v>194</v>
      </c>
      <c r="B53" t="s">
        <v>54</v>
      </c>
      <c r="C53" t="s">
        <v>34</v>
      </c>
      <c r="D53">
        <v>4</v>
      </c>
      <c r="E53" t="s">
        <v>195</v>
      </c>
      <c r="F53" t="s">
        <v>36</v>
      </c>
      <c r="G53">
        <v>5</v>
      </c>
      <c r="H53">
        <v>3</v>
      </c>
      <c r="I53">
        <v>2</v>
      </c>
      <c r="J53">
        <v>4</v>
      </c>
      <c r="K53">
        <v>4</v>
      </c>
      <c r="L53" t="s">
        <v>70</v>
      </c>
      <c r="M53" t="s">
        <v>196</v>
      </c>
      <c r="N53">
        <v>5</v>
      </c>
      <c r="O53">
        <v>2</v>
      </c>
      <c r="P53">
        <v>4</v>
      </c>
      <c r="Q53">
        <v>3</v>
      </c>
      <c r="R53" t="s">
        <v>31</v>
      </c>
      <c r="S53">
        <v>5</v>
      </c>
      <c r="T53">
        <v>4</v>
      </c>
      <c r="U53">
        <v>4</v>
      </c>
      <c r="V53">
        <v>3</v>
      </c>
      <c r="W53">
        <v>4</v>
      </c>
      <c r="X53">
        <v>5</v>
      </c>
    </row>
    <row r="54" spans="1:24" x14ac:dyDescent="0.35">
      <c r="A54" t="s">
        <v>197</v>
      </c>
      <c r="B54" t="s">
        <v>54</v>
      </c>
      <c r="C54" t="s">
        <v>90</v>
      </c>
      <c r="D54">
        <v>7</v>
      </c>
      <c r="E54" t="s">
        <v>198</v>
      </c>
      <c r="F54" t="s">
        <v>57</v>
      </c>
      <c r="G54">
        <v>4</v>
      </c>
      <c r="H54">
        <v>5</v>
      </c>
      <c r="I54">
        <v>3</v>
      </c>
      <c r="J54">
        <v>1</v>
      </c>
      <c r="K54">
        <v>4</v>
      </c>
      <c r="L54" t="s">
        <v>66</v>
      </c>
      <c r="M54" t="s">
        <v>199</v>
      </c>
      <c r="N54">
        <v>1</v>
      </c>
      <c r="O54">
        <v>5</v>
      </c>
      <c r="P54">
        <v>2</v>
      </c>
      <c r="Q54">
        <v>1</v>
      </c>
      <c r="R54" t="s">
        <v>84</v>
      </c>
      <c r="S54">
        <v>5</v>
      </c>
      <c r="T54">
        <v>3</v>
      </c>
      <c r="U54">
        <v>4</v>
      </c>
      <c r="V54">
        <v>4</v>
      </c>
      <c r="W54">
        <v>5</v>
      </c>
      <c r="X54">
        <v>5</v>
      </c>
    </row>
    <row r="55" spans="1:24" x14ac:dyDescent="0.35">
      <c r="A55" t="s">
        <v>200</v>
      </c>
      <c r="B55" t="s">
        <v>54</v>
      </c>
      <c r="C55" t="s">
        <v>34</v>
      </c>
      <c r="D55">
        <v>6</v>
      </c>
      <c r="E55" t="s">
        <v>201</v>
      </c>
      <c r="F55" t="s">
        <v>36</v>
      </c>
      <c r="G55">
        <v>4</v>
      </c>
      <c r="H55">
        <v>5</v>
      </c>
      <c r="I55">
        <v>3</v>
      </c>
      <c r="J55">
        <v>1</v>
      </c>
      <c r="K55">
        <v>5</v>
      </c>
      <c r="L55" t="s">
        <v>29</v>
      </c>
      <c r="M55" t="s">
        <v>202</v>
      </c>
      <c r="N55">
        <v>3</v>
      </c>
      <c r="O55">
        <v>1</v>
      </c>
      <c r="P55">
        <v>2</v>
      </c>
      <c r="Q55">
        <v>1</v>
      </c>
      <c r="R55" t="s">
        <v>79</v>
      </c>
      <c r="S55">
        <v>4</v>
      </c>
      <c r="T55">
        <v>3</v>
      </c>
      <c r="U55">
        <v>4</v>
      </c>
      <c r="V55">
        <v>4</v>
      </c>
      <c r="W55">
        <v>5</v>
      </c>
      <c r="X55">
        <v>4</v>
      </c>
    </row>
    <row r="56" spans="1:24" x14ac:dyDescent="0.35">
      <c r="A56" t="s">
        <v>203</v>
      </c>
      <c r="B56" t="s">
        <v>54</v>
      </c>
      <c r="C56" t="s">
        <v>34</v>
      </c>
      <c r="D56">
        <v>6</v>
      </c>
      <c r="E56" t="s">
        <v>74</v>
      </c>
      <c r="F56" t="s">
        <v>36</v>
      </c>
      <c r="G56">
        <v>4</v>
      </c>
      <c r="H56">
        <v>4</v>
      </c>
      <c r="I56">
        <v>3</v>
      </c>
      <c r="J56">
        <v>1</v>
      </c>
      <c r="K56">
        <v>5</v>
      </c>
      <c r="L56" t="s">
        <v>37</v>
      </c>
      <c r="M56" t="s">
        <v>131</v>
      </c>
      <c r="N56">
        <v>1</v>
      </c>
      <c r="O56">
        <v>2</v>
      </c>
      <c r="P56">
        <v>2</v>
      </c>
      <c r="Q56">
        <v>3</v>
      </c>
      <c r="R56" t="s">
        <v>84</v>
      </c>
      <c r="S56">
        <v>5</v>
      </c>
      <c r="T56">
        <v>3</v>
      </c>
      <c r="U56">
        <v>5</v>
      </c>
      <c r="V56">
        <v>3</v>
      </c>
      <c r="W56">
        <v>4</v>
      </c>
      <c r="X56">
        <v>4</v>
      </c>
    </row>
    <row r="57" spans="1:24" x14ac:dyDescent="0.35">
      <c r="A57" t="s">
        <v>204</v>
      </c>
      <c r="B57" t="s">
        <v>33</v>
      </c>
      <c r="C57" t="s">
        <v>34</v>
      </c>
      <c r="D57">
        <v>4</v>
      </c>
      <c r="E57" t="s">
        <v>205</v>
      </c>
      <c r="F57" t="s">
        <v>36</v>
      </c>
      <c r="G57">
        <v>4</v>
      </c>
      <c r="H57">
        <v>5</v>
      </c>
      <c r="I57">
        <v>3</v>
      </c>
      <c r="J57">
        <v>2</v>
      </c>
      <c r="K57">
        <v>5</v>
      </c>
      <c r="L57" t="s">
        <v>87</v>
      </c>
      <c r="M57" t="s">
        <v>206</v>
      </c>
      <c r="N57">
        <v>5</v>
      </c>
      <c r="O57">
        <v>4</v>
      </c>
      <c r="P57">
        <v>4</v>
      </c>
      <c r="Q57">
        <v>5</v>
      </c>
      <c r="R57" t="s">
        <v>68</v>
      </c>
      <c r="S57">
        <v>5</v>
      </c>
      <c r="T57">
        <v>3</v>
      </c>
      <c r="U57">
        <v>4</v>
      </c>
      <c r="V57">
        <v>4</v>
      </c>
      <c r="W57">
        <v>4</v>
      </c>
      <c r="X57">
        <v>4</v>
      </c>
    </row>
    <row r="58" spans="1:24" x14ac:dyDescent="0.35">
      <c r="A58" t="s">
        <v>207</v>
      </c>
      <c r="B58" t="s">
        <v>54</v>
      </c>
      <c r="C58" t="s">
        <v>34</v>
      </c>
      <c r="D58">
        <v>5</v>
      </c>
      <c r="E58" t="s">
        <v>49</v>
      </c>
      <c r="F58" t="s">
        <v>36</v>
      </c>
      <c r="G58">
        <v>4</v>
      </c>
      <c r="H58">
        <v>5</v>
      </c>
      <c r="I58">
        <v>3</v>
      </c>
      <c r="J58">
        <v>1</v>
      </c>
      <c r="K58">
        <v>4</v>
      </c>
      <c r="L58" t="s">
        <v>70</v>
      </c>
      <c r="M58" t="s">
        <v>208</v>
      </c>
      <c r="N58">
        <v>2</v>
      </c>
      <c r="O58">
        <v>4</v>
      </c>
      <c r="P58">
        <v>4</v>
      </c>
      <c r="Q58">
        <v>5</v>
      </c>
      <c r="R58" t="s">
        <v>84</v>
      </c>
      <c r="S58">
        <v>5</v>
      </c>
      <c r="T58">
        <v>3</v>
      </c>
      <c r="U58">
        <v>5</v>
      </c>
      <c r="V58">
        <v>3</v>
      </c>
      <c r="W58">
        <v>5</v>
      </c>
      <c r="X58">
        <v>3</v>
      </c>
    </row>
    <row r="59" spans="1:24" x14ac:dyDescent="0.35">
      <c r="A59" t="s">
        <v>209</v>
      </c>
      <c r="B59" t="s">
        <v>33</v>
      </c>
      <c r="C59" t="s">
        <v>26</v>
      </c>
      <c r="D59">
        <v>6</v>
      </c>
      <c r="E59" t="s">
        <v>210</v>
      </c>
      <c r="F59" t="s">
        <v>57</v>
      </c>
      <c r="G59">
        <v>3</v>
      </c>
      <c r="H59">
        <v>5</v>
      </c>
      <c r="I59">
        <v>1</v>
      </c>
      <c r="J59">
        <v>3</v>
      </c>
      <c r="K59">
        <v>4</v>
      </c>
      <c r="L59" t="s">
        <v>97</v>
      </c>
      <c r="M59" t="s">
        <v>211</v>
      </c>
      <c r="N59">
        <v>2</v>
      </c>
      <c r="O59">
        <v>3</v>
      </c>
      <c r="P59">
        <v>3</v>
      </c>
      <c r="Q59">
        <v>4</v>
      </c>
      <c r="R59" t="s">
        <v>52</v>
      </c>
      <c r="S59">
        <v>4</v>
      </c>
      <c r="T59">
        <v>3</v>
      </c>
      <c r="U59">
        <v>4</v>
      </c>
      <c r="V59">
        <v>5</v>
      </c>
      <c r="W59">
        <v>5</v>
      </c>
      <c r="X59">
        <v>5</v>
      </c>
    </row>
    <row r="60" spans="1:24" x14ac:dyDescent="0.35">
      <c r="A60" t="s">
        <v>212</v>
      </c>
      <c r="B60" t="s">
        <v>33</v>
      </c>
      <c r="C60" t="s">
        <v>34</v>
      </c>
      <c r="D60">
        <v>4</v>
      </c>
      <c r="E60" t="s">
        <v>56</v>
      </c>
      <c r="F60" t="s">
        <v>36</v>
      </c>
      <c r="G60">
        <v>5</v>
      </c>
      <c r="H60">
        <v>5</v>
      </c>
      <c r="I60">
        <v>3</v>
      </c>
      <c r="J60">
        <v>1</v>
      </c>
      <c r="K60">
        <v>5</v>
      </c>
      <c r="L60" t="s">
        <v>50</v>
      </c>
      <c r="M60" t="s">
        <v>213</v>
      </c>
      <c r="N60">
        <v>5</v>
      </c>
      <c r="O60">
        <v>2</v>
      </c>
      <c r="P60">
        <v>4</v>
      </c>
      <c r="Q60">
        <v>3</v>
      </c>
      <c r="R60" t="s">
        <v>68</v>
      </c>
      <c r="S60">
        <v>5</v>
      </c>
      <c r="T60">
        <v>4</v>
      </c>
      <c r="U60">
        <v>4</v>
      </c>
      <c r="V60">
        <v>3</v>
      </c>
      <c r="W60">
        <v>5</v>
      </c>
      <c r="X60">
        <v>5</v>
      </c>
    </row>
    <row r="61" spans="1:24" x14ac:dyDescent="0.35">
      <c r="A61" t="s">
        <v>214</v>
      </c>
      <c r="B61" t="s">
        <v>33</v>
      </c>
      <c r="C61" t="s">
        <v>26</v>
      </c>
      <c r="D61">
        <v>6</v>
      </c>
      <c r="E61" t="s">
        <v>215</v>
      </c>
      <c r="F61" t="s">
        <v>57</v>
      </c>
      <c r="G61">
        <v>3</v>
      </c>
      <c r="H61">
        <v>5</v>
      </c>
      <c r="I61">
        <v>2</v>
      </c>
      <c r="J61">
        <v>3</v>
      </c>
      <c r="K61">
        <v>5</v>
      </c>
      <c r="L61" t="s">
        <v>58</v>
      </c>
      <c r="M61" t="s">
        <v>216</v>
      </c>
      <c r="N61">
        <v>5</v>
      </c>
      <c r="O61">
        <v>2</v>
      </c>
      <c r="P61">
        <v>3</v>
      </c>
      <c r="Q61">
        <v>4</v>
      </c>
      <c r="R61" t="s">
        <v>39</v>
      </c>
      <c r="S61">
        <v>5</v>
      </c>
      <c r="T61">
        <v>4</v>
      </c>
      <c r="U61">
        <v>4</v>
      </c>
      <c r="V61">
        <v>4</v>
      </c>
      <c r="W61">
        <v>5</v>
      </c>
      <c r="X61">
        <v>5</v>
      </c>
    </row>
    <row r="62" spans="1:24" x14ac:dyDescent="0.35">
      <c r="A62" t="s">
        <v>217</v>
      </c>
      <c r="B62" t="s">
        <v>33</v>
      </c>
      <c r="C62" t="s">
        <v>26</v>
      </c>
      <c r="D62">
        <v>4</v>
      </c>
      <c r="E62" t="s">
        <v>49</v>
      </c>
      <c r="F62" t="s">
        <v>42</v>
      </c>
      <c r="G62">
        <v>5</v>
      </c>
      <c r="H62">
        <v>5</v>
      </c>
      <c r="I62">
        <v>1</v>
      </c>
      <c r="J62">
        <v>3</v>
      </c>
      <c r="K62">
        <v>5</v>
      </c>
      <c r="L62" t="s">
        <v>70</v>
      </c>
      <c r="M62" t="s">
        <v>218</v>
      </c>
      <c r="N62">
        <v>2</v>
      </c>
      <c r="O62">
        <v>3</v>
      </c>
      <c r="P62">
        <v>1</v>
      </c>
      <c r="Q62">
        <v>5</v>
      </c>
      <c r="R62" t="s">
        <v>31</v>
      </c>
      <c r="S62">
        <v>4</v>
      </c>
      <c r="T62">
        <v>5</v>
      </c>
      <c r="U62">
        <v>5</v>
      </c>
      <c r="V62">
        <v>3</v>
      </c>
      <c r="W62">
        <v>5</v>
      </c>
      <c r="X62">
        <v>5</v>
      </c>
    </row>
    <row r="63" spans="1:24" x14ac:dyDescent="0.35">
      <c r="A63" t="s">
        <v>219</v>
      </c>
      <c r="B63" t="s">
        <v>33</v>
      </c>
      <c r="C63" t="s">
        <v>26</v>
      </c>
      <c r="D63">
        <v>4</v>
      </c>
      <c r="E63" t="s">
        <v>83</v>
      </c>
      <c r="F63" t="s">
        <v>28</v>
      </c>
      <c r="G63">
        <v>4</v>
      </c>
      <c r="H63">
        <v>5</v>
      </c>
      <c r="I63">
        <v>2</v>
      </c>
      <c r="J63">
        <v>3</v>
      </c>
      <c r="K63">
        <v>5</v>
      </c>
      <c r="L63" t="s">
        <v>46</v>
      </c>
      <c r="M63" t="s">
        <v>220</v>
      </c>
      <c r="N63">
        <v>2</v>
      </c>
      <c r="O63">
        <v>2</v>
      </c>
      <c r="P63">
        <v>3</v>
      </c>
      <c r="Q63">
        <v>2</v>
      </c>
      <c r="R63" t="s">
        <v>44</v>
      </c>
      <c r="S63">
        <v>5</v>
      </c>
      <c r="T63">
        <v>3</v>
      </c>
      <c r="U63">
        <v>4</v>
      </c>
      <c r="V63">
        <v>5</v>
      </c>
      <c r="W63">
        <v>4</v>
      </c>
      <c r="X63">
        <v>4</v>
      </c>
    </row>
    <row r="64" spans="1:24" x14ac:dyDescent="0.35">
      <c r="A64" t="s">
        <v>221</v>
      </c>
      <c r="B64" t="s">
        <v>25</v>
      </c>
      <c r="C64" t="s">
        <v>55</v>
      </c>
      <c r="D64">
        <v>7</v>
      </c>
      <c r="E64" t="s">
        <v>175</v>
      </c>
      <c r="F64" t="s">
        <v>28</v>
      </c>
      <c r="G64">
        <v>4</v>
      </c>
      <c r="H64">
        <v>5</v>
      </c>
      <c r="I64">
        <v>2</v>
      </c>
      <c r="J64">
        <v>4</v>
      </c>
      <c r="K64">
        <v>4</v>
      </c>
      <c r="L64" t="s">
        <v>62</v>
      </c>
      <c r="M64" t="s">
        <v>67</v>
      </c>
      <c r="N64">
        <v>2</v>
      </c>
      <c r="O64">
        <v>1</v>
      </c>
      <c r="P64">
        <v>3</v>
      </c>
      <c r="Q64">
        <v>5</v>
      </c>
      <c r="R64" t="s">
        <v>39</v>
      </c>
      <c r="S64">
        <v>4</v>
      </c>
      <c r="T64">
        <v>3</v>
      </c>
      <c r="U64">
        <v>5</v>
      </c>
      <c r="V64">
        <v>5</v>
      </c>
      <c r="W64">
        <v>5</v>
      </c>
      <c r="X64">
        <v>5</v>
      </c>
    </row>
    <row r="65" spans="1:24" x14ac:dyDescent="0.35">
      <c r="A65" t="s">
        <v>222</v>
      </c>
      <c r="B65" t="s">
        <v>54</v>
      </c>
      <c r="C65" t="s">
        <v>26</v>
      </c>
      <c r="D65">
        <v>5</v>
      </c>
      <c r="E65" t="s">
        <v>77</v>
      </c>
      <c r="F65" t="s">
        <v>28</v>
      </c>
      <c r="G65">
        <v>5</v>
      </c>
      <c r="H65">
        <v>3</v>
      </c>
      <c r="I65">
        <v>3</v>
      </c>
      <c r="J65">
        <v>4</v>
      </c>
      <c r="K65">
        <v>5</v>
      </c>
      <c r="L65" t="s">
        <v>37</v>
      </c>
      <c r="M65" t="s">
        <v>213</v>
      </c>
      <c r="N65">
        <v>2</v>
      </c>
      <c r="O65">
        <v>1</v>
      </c>
      <c r="P65">
        <v>5</v>
      </c>
      <c r="Q65">
        <v>2</v>
      </c>
      <c r="R65" t="s">
        <v>94</v>
      </c>
      <c r="S65">
        <v>5</v>
      </c>
      <c r="T65">
        <v>3</v>
      </c>
      <c r="U65">
        <v>4</v>
      </c>
      <c r="V65">
        <v>4</v>
      </c>
      <c r="W65">
        <v>5</v>
      </c>
      <c r="X65">
        <v>5</v>
      </c>
    </row>
    <row r="66" spans="1:24" x14ac:dyDescent="0.35">
      <c r="A66" t="s">
        <v>223</v>
      </c>
      <c r="B66" t="s">
        <v>33</v>
      </c>
      <c r="C66" t="s">
        <v>34</v>
      </c>
      <c r="D66">
        <v>5</v>
      </c>
      <c r="E66" t="s">
        <v>224</v>
      </c>
      <c r="F66" t="s">
        <v>36</v>
      </c>
      <c r="G66">
        <v>3</v>
      </c>
      <c r="H66">
        <v>4</v>
      </c>
      <c r="I66">
        <v>2</v>
      </c>
      <c r="J66">
        <v>1</v>
      </c>
      <c r="K66">
        <v>4</v>
      </c>
      <c r="L66" t="s">
        <v>58</v>
      </c>
      <c r="M66" t="s">
        <v>225</v>
      </c>
      <c r="N66">
        <v>1</v>
      </c>
      <c r="O66">
        <v>2</v>
      </c>
      <c r="P66">
        <v>1</v>
      </c>
      <c r="Q66">
        <v>1</v>
      </c>
      <c r="R66" t="s">
        <v>99</v>
      </c>
      <c r="S66">
        <v>5</v>
      </c>
      <c r="T66">
        <v>3</v>
      </c>
      <c r="U66">
        <v>5</v>
      </c>
      <c r="V66">
        <v>4</v>
      </c>
      <c r="W66">
        <v>4</v>
      </c>
      <c r="X66">
        <v>4</v>
      </c>
    </row>
    <row r="67" spans="1:24" x14ac:dyDescent="0.35">
      <c r="A67" t="s">
        <v>226</v>
      </c>
      <c r="B67" t="s">
        <v>33</v>
      </c>
      <c r="C67" t="s">
        <v>34</v>
      </c>
      <c r="D67">
        <v>6</v>
      </c>
      <c r="E67" t="s">
        <v>227</v>
      </c>
      <c r="F67" t="s">
        <v>36</v>
      </c>
      <c r="G67">
        <v>4</v>
      </c>
      <c r="H67">
        <v>5</v>
      </c>
      <c r="I67">
        <v>1</v>
      </c>
      <c r="J67">
        <v>2</v>
      </c>
      <c r="K67">
        <v>4</v>
      </c>
      <c r="L67" t="s">
        <v>58</v>
      </c>
      <c r="M67" t="s">
        <v>228</v>
      </c>
      <c r="N67">
        <v>3</v>
      </c>
      <c r="O67">
        <v>2</v>
      </c>
      <c r="P67">
        <v>1</v>
      </c>
      <c r="Q67">
        <v>1</v>
      </c>
      <c r="R67" t="s">
        <v>31</v>
      </c>
      <c r="S67">
        <v>5</v>
      </c>
      <c r="T67">
        <v>4</v>
      </c>
      <c r="U67">
        <v>4</v>
      </c>
      <c r="V67">
        <v>3</v>
      </c>
      <c r="W67">
        <v>5</v>
      </c>
      <c r="X67">
        <v>3</v>
      </c>
    </row>
    <row r="68" spans="1:24" x14ac:dyDescent="0.35">
      <c r="A68" t="s">
        <v>229</v>
      </c>
      <c r="B68" t="s">
        <v>54</v>
      </c>
      <c r="C68" t="s">
        <v>34</v>
      </c>
      <c r="D68">
        <v>7</v>
      </c>
      <c r="E68" t="s">
        <v>184</v>
      </c>
      <c r="F68" t="s">
        <v>36</v>
      </c>
      <c r="G68">
        <v>5</v>
      </c>
      <c r="H68">
        <v>3</v>
      </c>
      <c r="I68">
        <v>2</v>
      </c>
      <c r="J68">
        <v>4</v>
      </c>
      <c r="K68">
        <v>4</v>
      </c>
      <c r="L68" t="s">
        <v>58</v>
      </c>
      <c r="M68" t="s">
        <v>208</v>
      </c>
      <c r="N68">
        <v>5</v>
      </c>
      <c r="O68">
        <v>3</v>
      </c>
      <c r="P68">
        <v>1</v>
      </c>
      <c r="Q68">
        <v>5</v>
      </c>
      <c r="R68" t="s">
        <v>39</v>
      </c>
      <c r="S68">
        <v>4</v>
      </c>
      <c r="T68">
        <v>5</v>
      </c>
      <c r="U68">
        <v>4</v>
      </c>
      <c r="V68">
        <v>3</v>
      </c>
      <c r="W68">
        <v>4</v>
      </c>
      <c r="X68">
        <v>3</v>
      </c>
    </row>
    <row r="69" spans="1:24" x14ac:dyDescent="0.35">
      <c r="A69" t="s">
        <v>230</v>
      </c>
      <c r="B69" t="s">
        <v>33</v>
      </c>
      <c r="C69" t="s">
        <v>26</v>
      </c>
      <c r="D69">
        <v>3</v>
      </c>
      <c r="E69" t="s">
        <v>231</v>
      </c>
      <c r="F69" t="s">
        <v>28</v>
      </c>
      <c r="G69">
        <v>4</v>
      </c>
      <c r="H69">
        <v>5</v>
      </c>
      <c r="I69">
        <v>1</v>
      </c>
      <c r="J69">
        <v>1</v>
      </c>
      <c r="K69">
        <v>4</v>
      </c>
      <c r="L69" t="s">
        <v>46</v>
      </c>
      <c r="M69" t="s">
        <v>232</v>
      </c>
      <c r="N69">
        <v>5</v>
      </c>
      <c r="O69">
        <v>5</v>
      </c>
      <c r="P69">
        <v>2</v>
      </c>
      <c r="Q69">
        <v>3</v>
      </c>
      <c r="R69" t="s">
        <v>94</v>
      </c>
      <c r="S69">
        <v>5</v>
      </c>
      <c r="T69">
        <v>3</v>
      </c>
      <c r="U69">
        <v>5</v>
      </c>
      <c r="V69">
        <v>4</v>
      </c>
      <c r="W69">
        <v>4</v>
      </c>
      <c r="X69">
        <v>3</v>
      </c>
    </row>
    <row r="70" spans="1:24" x14ac:dyDescent="0.35">
      <c r="A70" t="s">
        <v>233</v>
      </c>
      <c r="B70" t="s">
        <v>25</v>
      </c>
      <c r="C70" t="s">
        <v>34</v>
      </c>
      <c r="D70">
        <v>8</v>
      </c>
      <c r="E70" t="s">
        <v>77</v>
      </c>
      <c r="F70" t="s">
        <v>36</v>
      </c>
      <c r="G70">
        <v>5</v>
      </c>
      <c r="H70">
        <v>5</v>
      </c>
      <c r="I70">
        <v>1</v>
      </c>
      <c r="J70">
        <v>2</v>
      </c>
      <c r="K70">
        <v>4</v>
      </c>
      <c r="L70" t="s">
        <v>50</v>
      </c>
      <c r="M70" t="s">
        <v>102</v>
      </c>
      <c r="N70">
        <v>1</v>
      </c>
      <c r="O70">
        <v>5</v>
      </c>
      <c r="P70">
        <v>5</v>
      </c>
      <c r="Q70">
        <v>1</v>
      </c>
      <c r="R70" t="s">
        <v>99</v>
      </c>
      <c r="S70">
        <v>4</v>
      </c>
      <c r="T70">
        <v>5</v>
      </c>
      <c r="U70">
        <v>4</v>
      </c>
      <c r="V70">
        <v>3</v>
      </c>
      <c r="W70">
        <v>4</v>
      </c>
      <c r="X70">
        <v>5</v>
      </c>
    </row>
    <row r="71" spans="1:24" x14ac:dyDescent="0.35">
      <c r="A71" t="s">
        <v>234</v>
      </c>
      <c r="B71" t="s">
        <v>33</v>
      </c>
      <c r="C71" t="s">
        <v>34</v>
      </c>
      <c r="D71">
        <v>5</v>
      </c>
      <c r="E71" t="s">
        <v>215</v>
      </c>
      <c r="F71" t="s">
        <v>36</v>
      </c>
      <c r="G71">
        <v>4</v>
      </c>
      <c r="H71">
        <v>4</v>
      </c>
      <c r="I71">
        <v>2</v>
      </c>
      <c r="J71">
        <v>1</v>
      </c>
      <c r="K71">
        <v>4</v>
      </c>
      <c r="L71" t="s">
        <v>70</v>
      </c>
      <c r="M71" t="s">
        <v>235</v>
      </c>
      <c r="N71">
        <v>1</v>
      </c>
      <c r="O71">
        <v>5</v>
      </c>
      <c r="P71">
        <v>5</v>
      </c>
      <c r="Q71">
        <v>1</v>
      </c>
      <c r="R71" t="s">
        <v>72</v>
      </c>
      <c r="S71">
        <v>4</v>
      </c>
      <c r="T71">
        <v>4</v>
      </c>
      <c r="U71">
        <v>4</v>
      </c>
      <c r="V71">
        <v>5</v>
      </c>
      <c r="W71">
        <v>4</v>
      </c>
      <c r="X71">
        <v>4</v>
      </c>
    </row>
    <row r="72" spans="1:24" x14ac:dyDescent="0.35">
      <c r="A72" t="s">
        <v>236</v>
      </c>
      <c r="B72" t="s">
        <v>54</v>
      </c>
      <c r="C72" t="s">
        <v>26</v>
      </c>
      <c r="D72">
        <v>3</v>
      </c>
      <c r="E72" t="s">
        <v>237</v>
      </c>
      <c r="F72" t="s">
        <v>28</v>
      </c>
      <c r="G72">
        <v>4</v>
      </c>
      <c r="H72">
        <v>5</v>
      </c>
      <c r="I72">
        <v>1</v>
      </c>
      <c r="J72">
        <v>2</v>
      </c>
      <c r="K72">
        <v>5</v>
      </c>
      <c r="L72" t="s">
        <v>87</v>
      </c>
      <c r="M72" t="s">
        <v>238</v>
      </c>
      <c r="N72">
        <v>5</v>
      </c>
      <c r="O72">
        <v>3</v>
      </c>
      <c r="P72">
        <v>1</v>
      </c>
      <c r="Q72">
        <v>5</v>
      </c>
      <c r="R72" t="s">
        <v>44</v>
      </c>
      <c r="S72">
        <v>5</v>
      </c>
      <c r="T72">
        <v>3</v>
      </c>
      <c r="U72">
        <v>4</v>
      </c>
      <c r="V72">
        <v>5</v>
      </c>
      <c r="W72">
        <v>4</v>
      </c>
      <c r="X72">
        <v>3</v>
      </c>
    </row>
    <row r="73" spans="1:24" x14ac:dyDescent="0.35">
      <c r="A73" t="s">
        <v>239</v>
      </c>
      <c r="B73" t="s">
        <v>25</v>
      </c>
      <c r="C73" t="s">
        <v>90</v>
      </c>
      <c r="D73">
        <v>4</v>
      </c>
      <c r="E73" t="s">
        <v>240</v>
      </c>
      <c r="F73" t="s">
        <v>28</v>
      </c>
      <c r="G73">
        <v>5</v>
      </c>
      <c r="H73">
        <v>3</v>
      </c>
      <c r="I73">
        <v>3</v>
      </c>
      <c r="J73">
        <v>2</v>
      </c>
      <c r="K73">
        <v>4</v>
      </c>
      <c r="L73" t="s">
        <v>46</v>
      </c>
      <c r="M73" t="s">
        <v>241</v>
      </c>
      <c r="N73">
        <v>1</v>
      </c>
      <c r="O73">
        <v>2</v>
      </c>
      <c r="P73">
        <v>1</v>
      </c>
      <c r="Q73">
        <v>3</v>
      </c>
      <c r="R73" t="s">
        <v>99</v>
      </c>
      <c r="S73">
        <v>4</v>
      </c>
      <c r="T73">
        <v>3</v>
      </c>
      <c r="U73">
        <v>5</v>
      </c>
      <c r="V73">
        <v>3</v>
      </c>
      <c r="W73">
        <v>5</v>
      </c>
      <c r="X73">
        <v>5</v>
      </c>
    </row>
    <row r="74" spans="1:24" x14ac:dyDescent="0.35">
      <c r="A74" t="s">
        <v>242</v>
      </c>
      <c r="B74" t="s">
        <v>54</v>
      </c>
      <c r="C74" t="s">
        <v>26</v>
      </c>
      <c r="D74">
        <v>4</v>
      </c>
      <c r="E74" t="s">
        <v>149</v>
      </c>
      <c r="F74" t="s">
        <v>28</v>
      </c>
      <c r="G74">
        <v>5</v>
      </c>
      <c r="H74">
        <v>5</v>
      </c>
      <c r="I74">
        <v>2</v>
      </c>
      <c r="J74">
        <v>2</v>
      </c>
      <c r="K74">
        <v>5</v>
      </c>
      <c r="L74" t="s">
        <v>29</v>
      </c>
      <c r="M74" t="s">
        <v>243</v>
      </c>
      <c r="N74">
        <v>2</v>
      </c>
      <c r="O74">
        <v>4</v>
      </c>
      <c r="P74">
        <v>2</v>
      </c>
      <c r="Q74">
        <v>3</v>
      </c>
      <c r="R74" t="s">
        <v>79</v>
      </c>
      <c r="S74">
        <v>5</v>
      </c>
      <c r="T74">
        <v>3</v>
      </c>
      <c r="U74">
        <v>4</v>
      </c>
      <c r="V74">
        <v>3</v>
      </c>
      <c r="W74">
        <v>5</v>
      </c>
      <c r="X74">
        <v>4</v>
      </c>
    </row>
    <row r="75" spans="1:24" x14ac:dyDescent="0.35">
      <c r="A75" t="s">
        <v>244</v>
      </c>
      <c r="B75" t="s">
        <v>25</v>
      </c>
      <c r="C75" t="s">
        <v>26</v>
      </c>
      <c r="D75">
        <v>8</v>
      </c>
      <c r="E75" t="s">
        <v>169</v>
      </c>
      <c r="F75" t="s">
        <v>42</v>
      </c>
      <c r="G75">
        <v>4</v>
      </c>
      <c r="H75">
        <v>4</v>
      </c>
      <c r="I75">
        <v>1</v>
      </c>
      <c r="J75">
        <v>3</v>
      </c>
      <c r="K75">
        <v>4</v>
      </c>
      <c r="L75" t="s">
        <v>66</v>
      </c>
      <c r="M75" t="s">
        <v>67</v>
      </c>
      <c r="N75">
        <v>2</v>
      </c>
      <c r="O75">
        <v>3</v>
      </c>
      <c r="P75">
        <v>2</v>
      </c>
      <c r="Q75">
        <v>1</v>
      </c>
      <c r="R75" t="s">
        <v>52</v>
      </c>
      <c r="S75">
        <v>5</v>
      </c>
      <c r="T75">
        <v>5</v>
      </c>
      <c r="U75">
        <v>5</v>
      </c>
      <c r="V75">
        <v>5</v>
      </c>
      <c r="W75">
        <v>4</v>
      </c>
      <c r="X75">
        <v>5</v>
      </c>
    </row>
    <row r="76" spans="1:24" x14ac:dyDescent="0.35">
      <c r="A76" t="s">
        <v>245</v>
      </c>
      <c r="B76" t="s">
        <v>33</v>
      </c>
      <c r="C76" t="s">
        <v>34</v>
      </c>
      <c r="D76">
        <v>3</v>
      </c>
      <c r="E76" t="s">
        <v>184</v>
      </c>
      <c r="F76" t="s">
        <v>36</v>
      </c>
      <c r="G76">
        <v>5</v>
      </c>
      <c r="H76">
        <v>5</v>
      </c>
      <c r="I76">
        <v>1</v>
      </c>
      <c r="J76">
        <v>1</v>
      </c>
      <c r="K76">
        <v>4</v>
      </c>
      <c r="L76" t="s">
        <v>97</v>
      </c>
      <c r="M76" t="s">
        <v>246</v>
      </c>
      <c r="N76">
        <v>1</v>
      </c>
      <c r="O76">
        <v>5</v>
      </c>
      <c r="P76">
        <v>4</v>
      </c>
      <c r="Q76">
        <v>2</v>
      </c>
      <c r="R76" t="s">
        <v>31</v>
      </c>
      <c r="S76">
        <v>5</v>
      </c>
      <c r="T76">
        <v>4</v>
      </c>
      <c r="U76">
        <v>5</v>
      </c>
      <c r="V76">
        <v>3</v>
      </c>
      <c r="W76">
        <v>4</v>
      </c>
      <c r="X76">
        <v>5</v>
      </c>
    </row>
    <row r="77" spans="1:24" x14ac:dyDescent="0.35">
      <c r="A77" t="s">
        <v>247</v>
      </c>
      <c r="B77" t="s">
        <v>25</v>
      </c>
      <c r="C77" t="s">
        <v>55</v>
      </c>
      <c r="D77">
        <v>6</v>
      </c>
      <c r="E77" t="s">
        <v>248</v>
      </c>
      <c r="F77" t="s">
        <v>42</v>
      </c>
      <c r="G77">
        <v>4</v>
      </c>
      <c r="H77">
        <v>5</v>
      </c>
      <c r="I77">
        <v>2</v>
      </c>
      <c r="J77">
        <v>4</v>
      </c>
      <c r="K77">
        <v>5</v>
      </c>
      <c r="L77" t="s">
        <v>62</v>
      </c>
      <c r="M77" t="s">
        <v>249</v>
      </c>
      <c r="N77">
        <v>4</v>
      </c>
      <c r="O77">
        <v>3</v>
      </c>
      <c r="P77">
        <v>5</v>
      </c>
      <c r="Q77">
        <v>2</v>
      </c>
      <c r="R77" t="s">
        <v>84</v>
      </c>
      <c r="S77">
        <v>4</v>
      </c>
      <c r="T77">
        <v>4</v>
      </c>
      <c r="U77">
        <v>4</v>
      </c>
      <c r="V77">
        <v>5</v>
      </c>
      <c r="W77">
        <v>4</v>
      </c>
      <c r="X77">
        <v>4</v>
      </c>
    </row>
    <row r="78" spans="1:24" x14ac:dyDescent="0.35">
      <c r="A78" t="s">
        <v>250</v>
      </c>
      <c r="B78" t="s">
        <v>25</v>
      </c>
      <c r="C78" t="s">
        <v>55</v>
      </c>
      <c r="D78">
        <v>4</v>
      </c>
      <c r="E78" t="s">
        <v>251</v>
      </c>
      <c r="F78" t="s">
        <v>42</v>
      </c>
      <c r="G78">
        <v>4</v>
      </c>
      <c r="H78">
        <v>5</v>
      </c>
      <c r="I78">
        <v>1</v>
      </c>
      <c r="J78">
        <v>1</v>
      </c>
      <c r="K78">
        <v>4</v>
      </c>
      <c r="L78" t="s">
        <v>70</v>
      </c>
      <c r="M78" t="s">
        <v>252</v>
      </c>
      <c r="N78">
        <v>3</v>
      </c>
      <c r="O78">
        <v>1</v>
      </c>
      <c r="P78">
        <v>4</v>
      </c>
      <c r="Q78">
        <v>3</v>
      </c>
      <c r="R78" t="s">
        <v>94</v>
      </c>
      <c r="S78">
        <v>4</v>
      </c>
      <c r="T78">
        <v>5</v>
      </c>
      <c r="U78">
        <v>4</v>
      </c>
      <c r="V78">
        <v>5</v>
      </c>
      <c r="W78">
        <v>5</v>
      </c>
      <c r="X78">
        <v>3</v>
      </c>
    </row>
    <row r="79" spans="1:24" x14ac:dyDescent="0.35">
      <c r="A79" t="s">
        <v>253</v>
      </c>
      <c r="B79" t="s">
        <v>54</v>
      </c>
      <c r="C79" t="s">
        <v>26</v>
      </c>
      <c r="D79">
        <v>4</v>
      </c>
      <c r="E79" t="s">
        <v>254</v>
      </c>
      <c r="F79" t="s">
        <v>57</v>
      </c>
      <c r="G79">
        <v>4</v>
      </c>
      <c r="H79">
        <v>3</v>
      </c>
      <c r="I79">
        <v>2</v>
      </c>
      <c r="J79">
        <v>1</v>
      </c>
      <c r="K79">
        <v>4</v>
      </c>
      <c r="L79" t="s">
        <v>58</v>
      </c>
      <c r="M79" t="s">
        <v>255</v>
      </c>
      <c r="N79">
        <v>5</v>
      </c>
      <c r="O79">
        <v>5</v>
      </c>
      <c r="P79">
        <v>5</v>
      </c>
      <c r="Q79">
        <v>2</v>
      </c>
      <c r="R79" t="s">
        <v>39</v>
      </c>
      <c r="S79">
        <v>5</v>
      </c>
      <c r="T79">
        <v>4</v>
      </c>
      <c r="U79">
        <v>5</v>
      </c>
      <c r="V79">
        <v>5</v>
      </c>
      <c r="W79">
        <v>4</v>
      </c>
      <c r="X79">
        <v>5</v>
      </c>
    </row>
    <row r="80" spans="1:24" x14ac:dyDescent="0.35">
      <c r="A80" t="s">
        <v>256</v>
      </c>
      <c r="B80" t="s">
        <v>25</v>
      </c>
      <c r="C80" t="s">
        <v>34</v>
      </c>
      <c r="D80">
        <v>4</v>
      </c>
      <c r="E80" t="s">
        <v>257</v>
      </c>
      <c r="F80" t="s">
        <v>36</v>
      </c>
      <c r="G80">
        <v>4</v>
      </c>
      <c r="H80">
        <v>4</v>
      </c>
      <c r="I80">
        <v>3</v>
      </c>
      <c r="J80">
        <v>4</v>
      </c>
      <c r="K80">
        <v>4</v>
      </c>
      <c r="L80" t="s">
        <v>46</v>
      </c>
      <c r="M80" t="s">
        <v>258</v>
      </c>
      <c r="N80">
        <v>3</v>
      </c>
      <c r="O80">
        <v>3</v>
      </c>
      <c r="P80">
        <v>1</v>
      </c>
      <c r="Q80">
        <v>3</v>
      </c>
      <c r="R80" t="s">
        <v>39</v>
      </c>
      <c r="S80">
        <v>4</v>
      </c>
      <c r="T80">
        <v>5</v>
      </c>
      <c r="U80">
        <v>4</v>
      </c>
      <c r="V80">
        <v>4</v>
      </c>
      <c r="W80">
        <v>4</v>
      </c>
      <c r="X80">
        <v>4</v>
      </c>
    </row>
    <row r="81" spans="1:24" x14ac:dyDescent="0.35">
      <c r="A81" t="s">
        <v>259</v>
      </c>
      <c r="B81" t="s">
        <v>33</v>
      </c>
      <c r="C81" t="s">
        <v>26</v>
      </c>
      <c r="D81">
        <v>5</v>
      </c>
      <c r="E81" t="s">
        <v>260</v>
      </c>
      <c r="F81" t="s">
        <v>28</v>
      </c>
      <c r="G81">
        <v>5</v>
      </c>
      <c r="H81">
        <v>4</v>
      </c>
      <c r="I81">
        <v>1</v>
      </c>
      <c r="J81">
        <v>3</v>
      </c>
      <c r="K81">
        <v>5</v>
      </c>
      <c r="L81" t="s">
        <v>97</v>
      </c>
      <c r="M81" t="s">
        <v>208</v>
      </c>
      <c r="N81">
        <v>4</v>
      </c>
      <c r="O81">
        <v>2</v>
      </c>
      <c r="P81">
        <v>4</v>
      </c>
      <c r="Q81">
        <v>1</v>
      </c>
      <c r="R81" t="s">
        <v>79</v>
      </c>
      <c r="S81">
        <v>4</v>
      </c>
      <c r="T81">
        <v>4</v>
      </c>
      <c r="U81">
        <v>5</v>
      </c>
      <c r="V81">
        <v>3</v>
      </c>
      <c r="W81">
        <v>5</v>
      </c>
      <c r="X81">
        <v>4</v>
      </c>
    </row>
    <row r="82" spans="1:24" x14ac:dyDescent="0.35">
      <c r="A82" t="s">
        <v>261</v>
      </c>
      <c r="B82" t="s">
        <v>25</v>
      </c>
      <c r="C82" t="s">
        <v>55</v>
      </c>
      <c r="D82">
        <v>5</v>
      </c>
      <c r="E82" t="s">
        <v>169</v>
      </c>
      <c r="F82" t="s">
        <v>42</v>
      </c>
      <c r="G82">
        <v>4</v>
      </c>
      <c r="H82">
        <v>4</v>
      </c>
      <c r="I82">
        <v>3</v>
      </c>
      <c r="J82">
        <v>3</v>
      </c>
      <c r="K82">
        <v>4</v>
      </c>
      <c r="L82" t="s">
        <v>66</v>
      </c>
      <c r="M82" t="s">
        <v>262</v>
      </c>
      <c r="N82">
        <v>1</v>
      </c>
      <c r="O82">
        <v>1</v>
      </c>
      <c r="P82">
        <v>4</v>
      </c>
      <c r="Q82">
        <v>5</v>
      </c>
      <c r="R82" t="s">
        <v>84</v>
      </c>
      <c r="S82">
        <v>5</v>
      </c>
      <c r="T82">
        <v>4</v>
      </c>
      <c r="U82">
        <v>4</v>
      </c>
      <c r="V82">
        <v>3</v>
      </c>
      <c r="W82">
        <v>4</v>
      </c>
      <c r="X82">
        <v>5</v>
      </c>
    </row>
    <row r="83" spans="1:24" x14ac:dyDescent="0.35">
      <c r="A83" t="s">
        <v>263</v>
      </c>
      <c r="B83" t="s">
        <v>54</v>
      </c>
      <c r="C83" t="s">
        <v>55</v>
      </c>
      <c r="D83">
        <v>7</v>
      </c>
      <c r="E83" t="s">
        <v>264</v>
      </c>
      <c r="F83" t="s">
        <v>28</v>
      </c>
      <c r="G83">
        <v>3</v>
      </c>
      <c r="H83">
        <v>3</v>
      </c>
      <c r="I83">
        <v>1</v>
      </c>
      <c r="J83">
        <v>3</v>
      </c>
      <c r="K83">
        <v>4</v>
      </c>
      <c r="L83" t="s">
        <v>66</v>
      </c>
      <c r="M83" t="s">
        <v>136</v>
      </c>
      <c r="N83">
        <v>5</v>
      </c>
      <c r="O83">
        <v>4</v>
      </c>
      <c r="P83">
        <v>2</v>
      </c>
      <c r="Q83">
        <v>1</v>
      </c>
      <c r="R83" t="s">
        <v>44</v>
      </c>
      <c r="S83">
        <v>4</v>
      </c>
      <c r="T83">
        <v>4</v>
      </c>
      <c r="U83">
        <v>5</v>
      </c>
      <c r="V83">
        <v>3</v>
      </c>
      <c r="W83">
        <v>4</v>
      </c>
      <c r="X83">
        <v>4</v>
      </c>
    </row>
    <row r="84" spans="1:24" x14ac:dyDescent="0.35">
      <c r="A84" t="s">
        <v>265</v>
      </c>
      <c r="B84" t="s">
        <v>25</v>
      </c>
      <c r="C84" t="s">
        <v>55</v>
      </c>
      <c r="D84">
        <v>4</v>
      </c>
      <c r="E84" t="s">
        <v>74</v>
      </c>
      <c r="F84" t="s">
        <v>42</v>
      </c>
      <c r="G84">
        <v>4</v>
      </c>
      <c r="H84">
        <v>3</v>
      </c>
      <c r="I84">
        <v>2</v>
      </c>
      <c r="J84">
        <v>2</v>
      </c>
      <c r="K84">
        <v>4</v>
      </c>
      <c r="L84" t="s">
        <v>37</v>
      </c>
      <c r="M84" t="s">
        <v>208</v>
      </c>
      <c r="N84">
        <v>5</v>
      </c>
      <c r="O84">
        <v>4</v>
      </c>
      <c r="P84">
        <v>2</v>
      </c>
      <c r="Q84">
        <v>2</v>
      </c>
      <c r="R84" t="s">
        <v>52</v>
      </c>
      <c r="S84">
        <v>4</v>
      </c>
      <c r="T84">
        <v>5</v>
      </c>
      <c r="U84">
        <v>4</v>
      </c>
      <c r="V84">
        <v>3</v>
      </c>
      <c r="W84">
        <v>5</v>
      </c>
      <c r="X84">
        <v>5</v>
      </c>
    </row>
    <row r="85" spans="1:24" x14ac:dyDescent="0.35">
      <c r="A85" t="s">
        <v>266</v>
      </c>
      <c r="B85" t="s">
        <v>54</v>
      </c>
      <c r="C85" t="s">
        <v>26</v>
      </c>
      <c r="D85">
        <v>3</v>
      </c>
      <c r="E85" t="s">
        <v>267</v>
      </c>
      <c r="F85" t="s">
        <v>42</v>
      </c>
      <c r="G85">
        <v>5</v>
      </c>
      <c r="H85">
        <v>3</v>
      </c>
      <c r="I85">
        <v>1</v>
      </c>
      <c r="J85">
        <v>2</v>
      </c>
      <c r="K85">
        <v>4</v>
      </c>
      <c r="L85" t="s">
        <v>87</v>
      </c>
      <c r="M85" t="s">
        <v>161</v>
      </c>
      <c r="N85">
        <v>5</v>
      </c>
      <c r="O85">
        <v>5</v>
      </c>
      <c r="P85">
        <v>5</v>
      </c>
      <c r="Q85">
        <v>1</v>
      </c>
      <c r="R85" t="s">
        <v>68</v>
      </c>
      <c r="S85">
        <v>4</v>
      </c>
      <c r="T85">
        <v>4</v>
      </c>
      <c r="U85">
        <v>5</v>
      </c>
      <c r="V85">
        <v>4</v>
      </c>
      <c r="W85">
        <v>4</v>
      </c>
      <c r="X85">
        <v>5</v>
      </c>
    </row>
    <row r="86" spans="1:24" x14ac:dyDescent="0.35">
      <c r="A86" t="s">
        <v>268</v>
      </c>
      <c r="B86" t="s">
        <v>33</v>
      </c>
      <c r="C86" t="s">
        <v>34</v>
      </c>
      <c r="D86">
        <v>4</v>
      </c>
      <c r="E86" t="s">
        <v>104</v>
      </c>
      <c r="F86" t="s">
        <v>36</v>
      </c>
      <c r="G86">
        <v>4</v>
      </c>
      <c r="H86">
        <v>5</v>
      </c>
      <c r="I86">
        <v>2</v>
      </c>
      <c r="J86">
        <v>2</v>
      </c>
      <c r="K86">
        <v>5</v>
      </c>
      <c r="L86" t="s">
        <v>87</v>
      </c>
      <c r="M86" t="s">
        <v>269</v>
      </c>
      <c r="N86">
        <v>3</v>
      </c>
      <c r="O86">
        <v>1</v>
      </c>
      <c r="P86">
        <v>5</v>
      </c>
      <c r="Q86">
        <v>1</v>
      </c>
      <c r="R86" t="s">
        <v>84</v>
      </c>
      <c r="S86">
        <v>5</v>
      </c>
      <c r="T86">
        <v>5</v>
      </c>
      <c r="U86">
        <v>5</v>
      </c>
      <c r="V86">
        <v>4</v>
      </c>
      <c r="W86">
        <v>4</v>
      </c>
      <c r="X86">
        <v>5</v>
      </c>
    </row>
    <row r="87" spans="1:24" x14ac:dyDescent="0.35">
      <c r="A87" t="s">
        <v>270</v>
      </c>
      <c r="B87" t="s">
        <v>54</v>
      </c>
      <c r="C87" t="s">
        <v>34</v>
      </c>
      <c r="D87">
        <v>5</v>
      </c>
      <c r="E87" t="s">
        <v>271</v>
      </c>
      <c r="F87" t="s">
        <v>36</v>
      </c>
      <c r="G87">
        <v>3</v>
      </c>
      <c r="H87">
        <v>4</v>
      </c>
      <c r="I87">
        <v>2</v>
      </c>
      <c r="J87">
        <v>4</v>
      </c>
      <c r="K87">
        <v>4</v>
      </c>
      <c r="L87" t="s">
        <v>97</v>
      </c>
      <c r="M87" t="s">
        <v>272</v>
      </c>
      <c r="N87">
        <v>3</v>
      </c>
      <c r="O87">
        <v>3</v>
      </c>
      <c r="P87">
        <v>5</v>
      </c>
      <c r="Q87">
        <v>5</v>
      </c>
      <c r="R87" t="s">
        <v>99</v>
      </c>
      <c r="S87">
        <v>4</v>
      </c>
      <c r="T87">
        <v>3</v>
      </c>
      <c r="U87">
        <v>5</v>
      </c>
      <c r="V87">
        <v>4</v>
      </c>
      <c r="W87">
        <v>4</v>
      </c>
      <c r="X87">
        <v>3</v>
      </c>
    </row>
    <row r="88" spans="1:24" x14ac:dyDescent="0.35">
      <c r="A88" t="s">
        <v>273</v>
      </c>
      <c r="B88" t="s">
        <v>54</v>
      </c>
      <c r="C88" t="s">
        <v>26</v>
      </c>
      <c r="D88">
        <v>7</v>
      </c>
      <c r="E88" t="s">
        <v>274</v>
      </c>
      <c r="F88" t="s">
        <v>28</v>
      </c>
      <c r="G88">
        <v>3</v>
      </c>
      <c r="H88">
        <v>4</v>
      </c>
      <c r="I88">
        <v>3</v>
      </c>
      <c r="J88">
        <v>2</v>
      </c>
      <c r="K88">
        <v>4</v>
      </c>
      <c r="L88" t="s">
        <v>46</v>
      </c>
      <c r="M88" t="s">
        <v>275</v>
      </c>
      <c r="N88">
        <v>2</v>
      </c>
      <c r="O88">
        <v>2</v>
      </c>
      <c r="P88">
        <v>1</v>
      </c>
      <c r="Q88">
        <v>3</v>
      </c>
      <c r="R88" t="s">
        <v>84</v>
      </c>
      <c r="S88">
        <v>5</v>
      </c>
      <c r="T88">
        <v>4</v>
      </c>
      <c r="U88">
        <v>5</v>
      </c>
      <c r="V88">
        <v>3</v>
      </c>
      <c r="W88">
        <v>5</v>
      </c>
      <c r="X88">
        <v>5</v>
      </c>
    </row>
    <row r="89" spans="1:24" x14ac:dyDescent="0.35">
      <c r="A89" t="s">
        <v>276</v>
      </c>
      <c r="B89" t="s">
        <v>33</v>
      </c>
      <c r="C89" t="s">
        <v>34</v>
      </c>
      <c r="D89">
        <v>6</v>
      </c>
      <c r="E89" t="s">
        <v>104</v>
      </c>
      <c r="F89" t="s">
        <v>36</v>
      </c>
      <c r="G89">
        <v>3</v>
      </c>
      <c r="H89">
        <v>5</v>
      </c>
      <c r="I89">
        <v>2</v>
      </c>
      <c r="J89">
        <v>1</v>
      </c>
      <c r="K89">
        <v>5</v>
      </c>
      <c r="L89" t="s">
        <v>50</v>
      </c>
      <c r="M89" t="s">
        <v>161</v>
      </c>
      <c r="N89">
        <v>3</v>
      </c>
      <c r="O89">
        <v>1</v>
      </c>
      <c r="P89">
        <v>5</v>
      </c>
      <c r="Q89">
        <v>5</v>
      </c>
      <c r="R89" t="s">
        <v>79</v>
      </c>
      <c r="S89">
        <v>5</v>
      </c>
      <c r="T89">
        <v>5</v>
      </c>
      <c r="U89">
        <v>4</v>
      </c>
      <c r="V89">
        <v>3</v>
      </c>
      <c r="W89">
        <v>5</v>
      </c>
      <c r="X89">
        <v>3</v>
      </c>
    </row>
    <row r="90" spans="1:24" x14ac:dyDescent="0.35">
      <c r="A90" t="s">
        <v>277</v>
      </c>
      <c r="B90" t="s">
        <v>33</v>
      </c>
      <c r="C90" t="s">
        <v>34</v>
      </c>
      <c r="D90">
        <v>3</v>
      </c>
      <c r="E90" t="s">
        <v>278</v>
      </c>
      <c r="F90" t="s">
        <v>36</v>
      </c>
      <c r="G90">
        <v>5</v>
      </c>
      <c r="H90">
        <v>4</v>
      </c>
      <c r="I90">
        <v>1</v>
      </c>
      <c r="J90">
        <v>1</v>
      </c>
      <c r="K90">
        <v>4</v>
      </c>
      <c r="L90" t="s">
        <v>62</v>
      </c>
      <c r="M90" t="s">
        <v>213</v>
      </c>
      <c r="N90">
        <v>5</v>
      </c>
      <c r="O90">
        <v>5</v>
      </c>
      <c r="P90">
        <v>3</v>
      </c>
      <c r="Q90">
        <v>3</v>
      </c>
      <c r="R90" t="s">
        <v>39</v>
      </c>
      <c r="S90">
        <v>5</v>
      </c>
      <c r="T90">
        <v>3</v>
      </c>
      <c r="U90">
        <v>4</v>
      </c>
      <c r="V90">
        <v>4</v>
      </c>
      <c r="W90">
        <v>5</v>
      </c>
      <c r="X90">
        <v>5</v>
      </c>
    </row>
    <row r="91" spans="1:24" x14ac:dyDescent="0.35">
      <c r="A91" t="s">
        <v>279</v>
      </c>
      <c r="B91" t="s">
        <v>25</v>
      </c>
      <c r="C91" t="s">
        <v>55</v>
      </c>
      <c r="D91">
        <v>7</v>
      </c>
      <c r="E91" t="s">
        <v>169</v>
      </c>
      <c r="F91" t="s">
        <v>42</v>
      </c>
      <c r="G91">
        <v>5</v>
      </c>
      <c r="H91">
        <v>4</v>
      </c>
      <c r="I91">
        <v>2</v>
      </c>
      <c r="J91">
        <v>3</v>
      </c>
      <c r="K91">
        <v>4</v>
      </c>
      <c r="L91" t="s">
        <v>58</v>
      </c>
      <c r="M91" t="s">
        <v>280</v>
      </c>
      <c r="N91">
        <v>3</v>
      </c>
      <c r="O91">
        <v>2</v>
      </c>
      <c r="P91">
        <v>2</v>
      </c>
      <c r="Q91">
        <v>2</v>
      </c>
      <c r="R91" t="s">
        <v>84</v>
      </c>
      <c r="S91">
        <v>5</v>
      </c>
      <c r="T91">
        <v>3</v>
      </c>
      <c r="U91">
        <v>4</v>
      </c>
      <c r="V91">
        <v>4</v>
      </c>
      <c r="W91">
        <v>5</v>
      </c>
      <c r="X91">
        <v>4</v>
      </c>
    </row>
    <row r="92" spans="1:24" x14ac:dyDescent="0.35">
      <c r="A92" t="s">
        <v>281</v>
      </c>
      <c r="B92" t="s">
        <v>25</v>
      </c>
      <c r="C92" t="s">
        <v>26</v>
      </c>
      <c r="D92">
        <v>6</v>
      </c>
      <c r="E92" t="s">
        <v>169</v>
      </c>
      <c r="F92" t="s">
        <v>42</v>
      </c>
      <c r="G92">
        <v>3</v>
      </c>
      <c r="H92">
        <v>5</v>
      </c>
      <c r="I92">
        <v>3</v>
      </c>
      <c r="J92">
        <v>2</v>
      </c>
      <c r="K92">
        <v>4</v>
      </c>
      <c r="L92" t="s">
        <v>46</v>
      </c>
      <c r="M92" t="s">
        <v>119</v>
      </c>
      <c r="N92">
        <v>4</v>
      </c>
      <c r="O92">
        <v>1</v>
      </c>
      <c r="P92">
        <v>5</v>
      </c>
      <c r="Q92">
        <v>2</v>
      </c>
      <c r="R92" t="s">
        <v>44</v>
      </c>
      <c r="S92">
        <v>4</v>
      </c>
      <c r="T92">
        <v>3</v>
      </c>
      <c r="U92">
        <v>4</v>
      </c>
      <c r="V92">
        <v>5</v>
      </c>
      <c r="W92">
        <v>5</v>
      </c>
      <c r="X92">
        <v>4</v>
      </c>
    </row>
    <row r="93" spans="1:24" x14ac:dyDescent="0.35">
      <c r="A93" t="s">
        <v>282</v>
      </c>
      <c r="B93" t="s">
        <v>54</v>
      </c>
      <c r="C93" t="s">
        <v>55</v>
      </c>
      <c r="D93">
        <v>3</v>
      </c>
      <c r="E93" t="s">
        <v>184</v>
      </c>
      <c r="F93" t="s">
        <v>42</v>
      </c>
      <c r="G93">
        <v>4</v>
      </c>
      <c r="H93">
        <v>5</v>
      </c>
      <c r="I93">
        <v>3</v>
      </c>
      <c r="J93">
        <v>2</v>
      </c>
      <c r="K93">
        <v>5</v>
      </c>
      <c r="L93" t="s">
        <v>62</v>
      </c>
      <c r="M93" t="s">
        <v>283</v>
      </c>
      <c r="N93">
        <v>5</v>
      </c>
      <c r="O93">
        <v>4</v>
      </c>
      <c r="P93">
        <v>2</v>
      </c>
      <c r="Q93">
        <v>4</v>
      </c>
      <c r="R93" t="s">
        <v>68</v>
      </c>
      <c r="S93">
        <v>4</v>
      </c>
      <c r="T93">
        <v>5</v>
      </c>
      <c r="U93">
        <v>4</v>
      </c>
      <c r="V93">
        <v>4</v>
      </c>
      <c r="W93">
        <v>4</v>
      </c>
      <c r="X93">
        <v>5</v>
      </c>
    </row>
    <row r="94" spans="1:24" x14ac:dyDescent="0.35">
      <c r="A94" t="s">
        <v>284</v>
      </c>
      <c r="B94" t="s">
        <v>33</v>
      </c>
      <c r="C94" t="s">
        <v>34</v>
      </c>
      <c r="D94">
        <v>2</v>
      </c>
      <c r="E94" t="s">
        <v>169</v>
      </c>
      <c r="F94" t="s">
        <v>36</v>
      </c>
      <c r="G94">
        <v>5</v>
      </c>
      <c r="H94">
        <v>5</v>
      </c>
      <c r="I94">
        <v>1</v>
      </c>
      <c r="J94">
        <v>2</v>
      </c>
      <c r="K94">
        <v>5</v>
      </c>
      <c r="L94" t="s">
        <v>97</v>
      </c>
      <c r="M94" t="s">
        <v>208</v>
      </c>
      <c r="N94">
        <v>1</v>
      </c>
      <c r="O94">
        <v>4</v>
      </c>
      <c r="P94">
        <v>5</v>
      </c>
      <c r="Q94">
        <v>5</v>
      </c>
      <c r="R94" t="s">
        <v>39</v>
      </c>
      <c r="S94">
        <v>4</v>
      </c>
      <c r="T94">
        <v>5</v>
      </c>
      <c r="U94">
        <v>5</v>
      </c>
      <c r="V94">
        <v>5</v>
      </c>
      <c r="W94">
        <v>5</v>
      </c>
      <c r="X94">
        <v>3</v>
      </c>
    </row>
    <row r="95" spans="1:24" x14ac:dyDescent="0.35">
      <c r="A95" t="s">
        <v>285</v>
      </c>
      <c r="B95" t="s">
        <v>54</v>
      </c>
      <c r="C95" t="s">
        <v>34</v>
      </c>
      <c r="D95">
        <v>5</v>
      </c>
      <c r="E95" t="s">
        <v>104</v>
      </c>
      <c r="F95" t="s">
        <v>36</v>
      </c>
      <c r="G95">
        <v>5</v>
      </c>
      <c r="H95">
        <v>4</v>
      </c>
      <c r="I95">
        <v>1</v>
      </c>
      <c r="J95">
        <v>2</v>
      </c>
      <c r="K95">
        <v>5</v>
      </c>
      <c r="L95" t="s">
        <v>97</v>
      </c>
      <c r="M95" t="s">
        <v>286</v>
      </c>
      <c r="N95">
        <v>5</v>
      </c>
      <c r="O95">
        <v>3</v>
      </c>
      <c r="P95">
        <v>3</v>
      </c>
      <c r="Q95">
        <v>5</v>
      </c>
      <c r="R95" t="s">
        <v>94</v>
      </c>
      <c r="S95">
        <v>5</v>
      </c>
      <c r="T95">
        <v>4</v>
      </c>
      <c r="U95">
        <v>5</v>
      </c>
      <c r="V95">
        <v>4</v>
      </c>
      <c r="W95">
        <v>5</v>
      </c>
      <c r="X95">
        <v>4</v>
      </c>
    </row>
    <row r="96" spans="1:24" x14ac:dyDescent="0.35">
      <c r="A96" t="s">
        <v>287</v>
      </c>
      <c r="B96" t="s">
        <v>54</v>
      </c>
      <c r="C96" t="s">
        <v>26</v>
      </c>
      <c r="D96">
        <v>3</v>
      </c>
      <c r="E96" t="s">
        <v>288</v>
      </c>
      <c r="F96" t="s">
        <v>28</v>
      </c>
      <c r="G96">
        <v>4</v>
      </c>
      <c r="H96">
        <v>5</v>
      </c>
      <c r="I96">
        <v>1</v>
      </c>
      <c r="J96">
        <v>2</v>
      </c>
      <c r="K96">
        <v>4</v>
      </c>
      <c r="L96" t="s">
        <v>62</v>
      </c>
      <c r="M96" t="s">
        <v>289</v>
      </c>
      <c r="N96">
        <v>4</v>
      </c>
      <c r="O96">
        <v>2</v>
      </c>
      <c r="P96">
        <v>3</v>
      </c>
      <c r="Q96">
        <v>2</v>
      </c>
      <c r="R96" t="s">
        <v>44</v>
      </c>
      <c r="S96">
        <v>5</v>
      </c>
      <c r="T96">
        <v>5</v>
      </c>
      <c r="U96">
        <v>4</v>
      </c>
      <c r="V96">
        <v>3</v>
      </c>
      <c r="W96">
        <v>5</v>
      </c>
      <c r="X96">
        <v>3</v>
      </c>
    </row>
    <row r="97" spans="1:24" x14ac:dyDescent="0.35">
      <c r="A97" t="s">
        <v>290</v>
      </c>
      <c r="B97" t="s">
        <v>33</v>
      </c>
      <c r="C97" t="s">
        <v>55</v>
      </c>
      <c r="D97">
        <v>4</v>
      </c>
      <c r="E97" t="s">
        <v>135</v>
      </c>
      <c r="F97" t="s">
        <v>42</v>
      </c>
      <c r="G97">
        <v>5</v>
      </c>
      <c r="H97">
        <v>4</v>
      </c>
      <c r="I97">
        <v>2</v>
      </c>
      <c r="J97">
        <v>1</v>
      </c>
      <c r="K97">
        <v>4</v>
      </c>
      <c r="L97" t="s">
        <v>50</v>
      </c>
      <c r="M97" t="s">
        <v>291</v>
      </c>
      <c r="N97">
        <v>2</v>
      </c>
      <c r="O97">
        <v>5</v>
      </c>
      <c r="P97">
        <v>5</v>
      </c>
      <c r="Q97">
        <v>2</v>
      </c>
      <c r="R97" t="s">
        <v>72</v>
      </c>
      <c r="S97">
        <v>4</v>
      </c>
      <c r="T97">
        <v>5</v>
      </c>
      <c r="U97">
        <v>5</v>
      </c>
      <c r="V97">
        <v>5</v>
      </c>
      <c r="W97">
        <v>5</v>
      </c>
      <c r="X97">
        <v>5</v>
      </c>
    </row>
    <row r="98" spans="1:24" x14ac:dyDescent="0.35">
      <c r="A98" t="s">
        <v>292</v>
      </c>
      <c r="B98" t="s">
        <v>54</v>
      </c>
      <c r="C98" t="s">
        <v>26</v>
      </c>
      <c r="D98">
        <v>4</v>
      </c>
      <c r="E98" t="s">
        <v>293</v>
      </c>
      <c r="F98" t="s">
        <v>57</v>
      </c>
      <c r="G98">
        <v>5</v>
      </c>
      <c r="H98">
        <v>5</v>
      </c>
      <c r="I98">
        <v>2</v>
      </c>
      <c r="J98">
        <v>3</v>
      </c>
      <c r="K98">
        <v>4</v>
      </c>
      <c r="L98" t="s">
        <v>37</v>
      </c>
      <c r="M98" t="s">
        <v>294</v>
      </c>
      <c r="N98">
        <v>3</v>
      </c>
      <c r="O98">
        <v>3</v>
      </c>
      <c r="P98">
        <v>3</v>
      </c>
      <c r="Q98">
        <v>1</v>
      </c>
      <c r="R98" t="s">
        <v>44</v>
      </c>
      <c r="S98">
        <v>4</v>
      </c>
      <c r="T98">
        <v>5</v>
      </c>
      <c r="U98">
        <v>4</v>
      </c>
      <c r="V98">
        <v>5</v>
      </c>
      <c r="W98">
        <v>5</v>
      </c>
      <c r="X98">
        <v>5</v>
      </c>
    </row>
    <row r="99" spans="1:24" x14ac:dyDescent="0.35">
      <c r="A99" t="s">
        <v>301</v>
      </c>
      <c r="D99">
        <f>AVERAGE(D2:D98)</f>
        <v>4.9793814432989691</v>
      </c>
      <c r="G99">
        <f>AVERAGE(G2:G98)</f>
        <v>4.1649484536082477</v>
      </c>
      <c r="H99">
        <f t="shared" ref="H99:K99" si="0">AVERAGE(H2:H98)</f>
        <v>4.2989690721649483</v>
      </c>
      <c r="I99">
        <f t="shared" si="0"/>
        <v>2.0206185567010309</v>
      </c>
      <c r="J99">
        <f t="shared" si="0"/>
        <v>2.2164948453608249</v>
      </c>
      <c r="K99">
        <f t="shared" si="0"/>
        <v>4.34020618556701</v>
      </c>
      <c r="N99">
        <f>AVERAGE(N2:N98)</f>
        <v>2.8556701030927836</v>
      </c>
      <c r="O99">
        <f t="shared" ref="O99:Q99" si="1">AVERAGE(O2:O98)</f>
        <v>2.8556701030927836</v>
      </c>
      <c r="P99">
        <f t="shared" si="1"/>
        <v>3.0927835051546393</v>
      </c>
      <c r="Q99">
        <f t="shared" si="1"/>
        <v>2.8556701030927836</v>
      </c>
      <c r="S99">
        <f>AVERAGE(S2:S98)</f>
        <v>4.4948453608247423</v>
      </c>
      <c r="T99">
        <f t="shared" ref="T99:X99" si="2">AVERAGE(T2:T98)</f>
        <v>3.8762886597938144</v>
      </c>
      <c r="U99">
        <f t="shared" si="2"/>
        <v>4.4432989690721651</v>
      </c>
      <c r="V99">
        <f t="shared" si="2"/>
        <v>3.9072164948453607</v>
      </c>
      <c r="W99">
        <f t="shared" si="2"/>
        <v>4.5051546391752577</v>
      </c>
      <c r="X99">
        <f t="shared" si="2"/>
        <v>4.2268041237113403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896D6-A34F-454A-B1AC-54402D35F5A6}">
  <dimension ref="A1:F189"/>
  <sheetViews>
    <sheetView topLeftCell="A156" zoomScale="76" workbookViewId="0">
      <selection activeCell="F2" sqref="F2:F188"/>
    </sheetView>
  </sheetViews>
  <sheetFormatPr defaultRowHeight="14.5" x14ac:dyDescent="0.35"/>
  <cols>
    <col min="1" max="1" width="44.6328125" customWidth="1"/>
    <col min="2" max="2" width="17.36328125" customWidth="1"/>
    <col min="3" max="3" width="17.54296875" customWidth="1"/>
    <col min="4" max="4" width="20" customWidth="1"/>
    <col min="6" max="6" width="21.54296875" customWidth="1"/>
  </cols>
  <sheetData>
    <row r="1" spans="1:6" x14ac:dyDescent="0.35">
      <c r="A1" s="1" t="s">
        <v>4</v>
      </c>
      <c r="E1" t="s">
        <v>302</v>
      </c>
      <c r="F1" t="s">
        <v>300</v>
      </c>
    </row>
    <row r="2" spans="1:6" x14ac:dyDescent="0.35">
      <c r="A2" t="s">
        <v>27</v>
      </c>
      <c r="B2" t="str" cm="1">
        <f t="array" ref="B2">TRIM(_xlfn.TEXTSPLIT(A2, ","))</f>
        <v>Esetleges pénzforrás</v>
      </c>
      <c r="E2">
        <v>1</v>
      </c>
      <c r="F2" t="s">
        <v>27</v>
      </c>
    </row>
    <row r="3" spans="1:6" x14ac:dyDescent="0.35">
      <c r="A3" t="s">
        <v>35</v>
      </c>
      <c r="B3" t="str" cm="1">
        <f t="array" ref="B3:D3">TRIM(_xlfn.TEXTSPLIT(A3, ","))</f>
        <v>Nagy nyeremények</v>
      </c>
      <c r="C3" t="str">
        <v>Izgalom</v>
      </c>
      <c r="D3" t="str">
        <v>Régimódi</v>
      </c>
      <c r="E3">
        <v>2</v>
      </c>
      <c r="F3" t="s">
        <v>184</v>
      </c>
    </row>
    <row r="4" spans="1:6" x14ac:dyDescent="0.35">
      <c r="A4" t="s">
        <v>41</v>
      </c>
      <c r="B4" t="str" cm="1">
        <f t="array" ref="B4:D4">TRIM(_xlfn.TEXTSPLIT(A4, ","))</f>
        <v>Régimódi</v>
      </c>
      <c r="C4" t="str">
        <v>Hagyományos</v>
      </c>
      <c r="D4" t="str">
        <v>Unatkozás</v>
      </c>
      <c r="E4">
        <v>3</v>
      </c>
      <c r="F4" t="s">
        <v>135</v>
      </c>
    </row>
    <row r="5" spans="1:6" x14ac:dyDescent="0.35">
      <c r="A5" t="s">
        <v>27</v>
      </c>
      <c r="B5" t="str" cm="1">
        <f t="array" ref="B5">TRIM(_xlfn.TEXTSPLIT(A5, ","))</f>
        <v>Esetleges pénzforrás</v>
      </c>
      <c r="E5">
        <v>4</v>
      </c>
      <c r="F5" t="s">
        <v>27</v>
      </c>
    </row>
    <row r="6" spans="1:6" x14ac:dyDescent="0.35">
      <c r="A6" t="s">
        <v>49</v>
      </c>
      <c r="B6" t="str" cm="1">
        <f t="array" ref="B6">TRIM(_xlfn.TEXTSPLIT(A6, ","))</f>
        <v>Unatkozás</v>
      </c>
      <c r="E6">
        <v>5</v>
      </c>
      <c r="F6" t="s">
        <v>49</v>
      </c>
    </row>
    <row r="7" spans="1:6" x14ac:dyDescent="0.35">
      <c r="A7" t="s">
        <v>56</v>
      </c>
      <c r="B7" t="str" cm="1">
        <f t="array" ref="B7:C7">TRIM(_xlfn.TEXTSPLIT(A7, ","))</f>
        <v>Régimódi</v>
      </c>
      <c r="C7" t="str">
        <v>Izgalom</v>
      </c>
      <c r="E7">
        <v>6</v>
      </c>
      <c r="F7" t="s">
        <v>135</v>
      </c>
    </row>
    <row r="8" spans="1:6" x14ac:dyDescent="0.35">
      <c r="A8" t="s">
        <v>61</v>
      </c>
      <c r="B8" t="str" cm="1">
        <f t="array" ref="B8:D8">TRIM(_xlfn.TEXTSPLIT(A8, ","))</f>
        <v>Izgalom</v>
      </c>
      <c r="C8" t="str">
        <v>Hagyományos</v>
      </c>
      <c r="D8" t="str">
        <v>Könnyű játék</v>
      </c>
      <c r="E8">
        <v>7</v>
      </c>
      <c r="F8" t="s">
        <v>77</v>
      </c>
    </row>
    <row r="9" spans="1:6" x14ac:dyDescent="0.35">
      <c r="A9" t="s">
        <v>65</v>
      </c>
      <c r="B9" t="str" cm="1">
        <f t="array" ref="B9:D9">TRIM(_xlfn.TEXTSPLIT(A9, ","))</f>
        <v>Könnyű játék</v>
      </c>
      <c r="C9" t="str">
        <v>Izgalom</v>
      </c>
      <c r="D9" t="str">
        <v>Unatkozás</v>
      </c>
      <c r="E9">
        <v>8</v>
      </c>
      <c r="F9" t="s">
        <v>169</v>
      </c>
    </row>
    <row r="10" spans="1:6" x14ac:dyDescent="0.35">
      <c r="A10" t="s">
        <v>27</v>
      </c>
      <c r="B10" t="str" cm="1">
        <f t="array" ref="B10">TRIM(_xlfn.TEXTSPLIT(A10, ","))</f>
        <v>Esetleges pénzforrás</v>
      </c>
      <c r="E10">
        <v>9</v>
      </c>
      <c r="F10" t="s">
        <v>27</v>
      </c>
    </row>
    <row r="11" spans="1:6" x14ac:dyDescent="0.35">
      <c r="A11" t="s">
        <v>74</v>
      </c>
      <c r="B11" t="str" cm="1">
        <f t="array" ref="B11">TRIM(_xlfn.TEXTSPLIT(A11, ","))</f>
        <v>Családi hagyomány</v>
      </c>
      <c r="E11">
        <v>10</v>
      </c>
      <c r="F11" t="s">
        <v>74</v>
      </c>
    </row>
    <row r="12" spans="1:6" x14ac:dyDescent="0.35">
      <c r="A12" t="s">
        <v>77</v>
      </c>
      <c r="B12" t="str" cm="1">
        <f t="array" ref="B12">TRIM(_xlfn.TEXTSPLIT(A12, ","))</f>
        <v>Izgalom</v>
      </c>
      <c r="E12">
        <v>11</v>
      </c>
      <c r="F12" t="s">
        <v>77</v>
      </c>
    </row>
    <row r="13" spans="1:6" x14ac:dyDescent="0.35">
      <c r="A13" t="s">
        <v>27</v>
      </c>
      <c r="B13" t="str" cm="1">
        <f t="array" ref="B13">TRIM(_xlfn.TEXTSPLIT(A13, ","))</f>
        <v>Esetleges pénzforrás</v>
      </c>
      <c r="E13">
        <v>12</v>
      </c>
      <c r="F13" t="s">
        <v>27</v>
      </c>
    </row>
    <row r="14" spans="1:6" x14ac:dyDescent="0.35">
      <c r="A14" t="s">
        <v>83</v>
      </c>
      <c r="B14" t="str" cm="1">
        <f t="array" ref="B14:C14">TRIM(_xlfn.TEXTSPLIT(A14, ","))</f>
        <v>Esetleges pénzforrás</v>
      </c>
      <c r="C14" t="str">
        <v>Családi hagyomány</v>
      </c>
      <c r="E14">
        <v>13</v>
      </c>
      <c r="F14" t="s">
        <v>27</v>
      </c>
    </row>
    <row r="15" spans="1:6" x14ac:dyDescent="0.35">
      <c r="A15" t="s">
        <v>86</v>
      </c>
      <c r="B15" t="str" cm="1">
        <f t="array" ref="B15:C15">TRIM(_xlfn.TEXTSPLIT(A15, ","))</f>
        <v>Nagy nyeremények</v>
      </c>
      <c r="C15" t="str">
        <v>Esetleges pénzforrás</v>
      </c>
      <c r="E15">
        <v>14</v>
      </c>
      <c r="F15" t="s">
        <v>184</v>
      </c>
    </row>
    <row r="16" spans="1:6" x14ac:dyDescent="0.35">
      <c r="A16" t="s">
        <v>77</v>
      </c>
      <c r="B16" t="str" cm="1">
        <f t="array" ref="B16">TRIM(_xlfn.TEXTSPLIT(A16, ","))</f>
        <v>Izgalom</v>
      </c>
      <c r="E16">
        <v>15</v>
      </c>
      <c r="F16" t="s">
        <v>77</v>
      </c>
    </row>
    <row r="17" spans="1:6" x14ac:dyDescent="0.35">
      <c r="A17" t="s">
        <v>74</v>
      </c>
      <c r="B17" t="str" cm="1">
        <f t="array" ref="B17">TRIM(_xlfn.TEXTSPLIT(A17, ","))</f>
        <v>Családi hagyomány</v>
      </c>
      <c r="E17">
        <v>16</v>
      </c>
      <c r="F17" t="s">
        <v>74</v>
      </c>
    </row>
    <row r="18" spans="1:6" x14ac:dyDescent="0.35">
      <c r="A18" t="s">
        <v>96</v>
      </c>
      <c r="B18" t="str" cm="1">
        <f t="array" ref="B18:D18">TRIM(_xlfn.TEXTSPLIT(A18, ","))</f>
        <v>Családi hagyomány</v>
      </c>
      <c r="C18" t="str">
        <v>Unatkozás</v>
      </c>
      <c r="D18" t="str">
        <v>Régimódi</v>
      </c>
      <c r="E18">
        <v>17</v>
      </c>
      <c r="F18" t="s">
        <v>74</v>
      </c>
    </row>
    <row r="19" spans="1:6" x14ac:dyDescent="0.35">
      <c r="A19" t="s">
        <v>101</v>
      </c>
      <c r="B19" t="str" cm="1">
        <f t="array" ref="B19:D19">TRIM(_xlfn.TEXTSPLIT(A19, ","))</f>
        <v>Nagy nyeremények</v>
      </c>
      <c r="C19" t="str">
        <v>Régimódi</v>
      </c>
      <c r="D19" t="str">
        <v>Unatkozás</v>
      </c>
      <c r="E19">
        <v>18</v>
      </c>
      <c r="F19" t="s">
        <v>184</v>
      </c>
    </row>
    <row r="20" spans="1:6" x14ac:dyDescent="0.35">
      <c r="A20" t="s">
        <v>104</v>
      </c>
      <c r="B20" t="str" cm="1">
        <f t="array" ref="B20">TRIM(_xlfn.TEXTSPLIT(A20, ","))</f>
        <v>Hagyományos</v>
      </c>
      <c r="E20">
        <v>19</v>
      </c>
      <c r="F20" t="s">
        <v>104</v>
      </c>
    </row>
    <row r="21" spans="1:6" x14ac:dyDescent="0.35">
      <c r="A21" t="s">
        <v>108</v>
      </c>
      <c r="B21" t="str" cm="1">
        <f t="array" ref="B21:D21">TRIM(_xlfn.TEXTSPLIT(A21, ","))</f>
        <v>Unatkozás</v>
      </c>
      <c r="C21" t="str">
        <v>Esetleges pénzforrás</v>
      </c>
      <c r="D21" t="str">
        <v>Családi hagyomány</v>
      </c>
      <c r="E21">
        <v>20</v>
      </c>
      <c r="F21" t="s">
        <v>49</v>
      </c>
    </row>
    <row r="22" spans="1:6" x14ac:dyDescent="0.35">
      <c r="A22" t="s">
        <v>27</v>
      </c>
      <c r="B22" t="str" cm="1">
        <f t="array" ref="B22">TRIM(_xlfn.TEXTSPLIT(A22, ","))</f>
        <v>Esetleges pénzforrás</v>
      </c>
      <c r="E22">
        <v>21</v>
      </c>
      <c r="F22" t="s">
        <v>27</v>
      </c>
    </row>
    <row r="23" spans="1:6" x14ac:dyDescent="0.35">
      <c r="A23" t="s">
        <v>113</v>
      </c>
      <c r="B23" t="str" cm="1">
        <f t="array" ref="B23:D23">TRIM(_xlfn.TEXTSPLIT(A23, ","))</f>
        <v>Unatkozás</v>
      </c>
      <c r="C23" t="str">
        <v>Régimódi</v>
      </c>
      <c r="D23" t="str">
        <v>Könnyű játék</v>
      </c>
      <c r="E23">
        <v>22</v>
      </c>
      <c r="F23" t="s">
        <v>49</v>
      </c>
    </row>
    <row r="24" spans="1:6" x14ac:dyDescent="0.35">
      <c r="A24" t="s">
        <v>77</v>
      </c>
      <c r="B24" t="str" cm="1">
        <f t="array" ref="B24">TRIM(_xlfn.TEXTSPLIT(A24, ","))</f>
        <v>Izgalom</v>
      </c>
      <c r="E24">
        <v>23</v>
      </c>
      <c r="F24" t="s">
        <v>77</v>
      </c>
    </row>
    <row r="25" spans="1:6" x14ac:dyDescent="0.35">
      <c r="A25" t="s">
        <v>118</v>
      </c>
      <c r="B25" t="str" cm="1">
        <f t="array" ref="B25:D25">TRIM(_xlfn.TEXTSPLIT(A25, ","))</f>
        <v>Unatkozás</v>
      </c>
      <c r="C25" t="str">
        <v>Izgalom</v>
      </c>
      <c r="D25" t="str">
        <v>Hagyományos</v>
      </c>
      <c r="E25">
        <v>24</v>
      </c>
      <c r="F25" t="s">
        <v>49</v>
      </c>
    </row>
    <row r="26" spans="1:6" x14ac:dyDescent="0.35">
      <c r="A26" t="s">
        <v>121</v>
      </c>
      <c r="B26" t="str" cm="1">
        <f t="array" ref="B26:D26">TRIM(_xlfn.TEXTSPLIT(A26, ","))</f>
        <v>Unatkozás</v>
      </c>
      <c r="C26" t="str">
        <v>Hagyományos</v>
      </c>
      <c r="D26" t="str">
        <v>Könnyű játék</v>
      </c>
      <c r="E26">
        <v>25</v>
      </c>
      <c r="F26" t="s">
        <v>49</v>
      </c>
    </row>
    <row r="27" spans="1:6" x14ac:dyDescent="0.35">
      <c r="A27" t="s">
        <v>124</v>
      </c>
      <c r="B27" t="str" cm="1">
        <f t="array" ref="B27:C27">TRIM(_xlfn.TEXTSPLIT(A27, ","))</f>
        <v>Régimódi</v>
      </c>
      <c r="C27" t="str">
        <v>Unatkozás</v>
      </c>
      <c r="E27">
        <v>26</v>
      </c>
      <c r="F27" t="s">
        <v>135</v>
      </c>
    </row>
    <row r="28" spans="1:6" x14ac:dyDescent="0.35">
      <c r="A28" t="s">
        <v>127</v>
      </c>
      <c r="B28" t="str" cm="1">
        <f t="array" ref="B28:D28">TRIM(_xlfn.TEXTSPLIT(A28, ","))</f>
        <v>Családi hagyomány</v>
      </c>
      <c r="C28" t="str">
        <v>Könnyű játék</v>
      </c>
      <c r="D28" t="str">
        <v>Izgalom</v>
      </c>
      <c r="E28">
        <v>27</v>
      </c>
      <c r="F28" t="s">
        <v>74</v>
      </c>
    </row>
    <row r="29" spans="1:6" x14ac:dyDescent="0.35">
      <c r="A29" t="s">
        <v>130</v>
      </c>
      <c r="B29" t="str" cm="1">
        <f t="array" ref="B29:C29">TRIM(_xlfn.TEXTSPLIT(A29, ","))</f>
        <v>Családi hagyomány</v>
      </c>
      <c r="C29" t="str">
        <v>Unatkozás</v>
      </c>
      <c r="E29">
        <v>28</v>
      </c>
      <c r="F29" t="s">
        <v>74</v>
      </c>
    </row>
    <row r="30" spans="1:6" x14ac:dyDescent="0.35">
      <c r="A30" t="s">
        <v>49</v>
      </c>
      <c r="B30" t="str" cm="1">
        <f t="array" ref="B30">TRIM(_xlfn.TEXTSPLIT(A30, ","))</f>
        <v>Unatkozás</v>
      </c>
      <c r="E30">
        <v>29</v>
      </c>
      <c r="F30" t="s">
        <v>49</v>
      </c>
    </row>
    <row r="31" spans="1:6" x14ac:dyDescent="0.35">
      <c r="A31" t="s">
        <v>135</v>
      </c>
      <c r="B31" t="str" cm="1">
        <f t="array" ref="B31">TRIM(_xlfn.TEXTSPLIT(A31, ","))</f>
        <v>Régimódi</v>
      </c>
      <c r="E31">
        <v>30</v>
      </c>
      <c r="F31" t="s">
        <v>135</v>
      </c>
    </row>
    <row r="32" spans="1:6" x14ac:dyDescent="0.35">
      <c r="A32" t="s">
        <v>130</v>
      </c>
      <c r="B32" t="str" cm="1">
        <f t="array" ref="B32:C32">TRIM(_xlfn.TEXTSPLIT(A32, ","))</f>
        <v>Családi hagyomány</v>
      </c>
      <c r="C32" t="str">
        <v>Unatkozás</v>
      </c>
      <c r="E32">
        <v>31</v>
      </c>
      <c r="F32" t="s">
        <v>74</v>
      </c>
    </row>
    <row r="33" spans="1:6" x14ac:dyDescent="0.35">
      <c r="A33" t="s">
        <v>140</v>
      </c>
      <c r="B33" t="str" cm="1">
        <f t="array" ref="B33:C33">TRIM(_xlfn.TEXTSPLIT(A33, ","))</f>
        <v>Izgalom</v>
      </c>
      <c r="C33" t="str">
        <v>Hagyományos</v>
      </c>
      <c r="E33">
        <v>32</v>
      </c>
      <c r="F33" t="s">
        <v>77</v>
      </c>
    </row>
    <row r="34" spans="1:6" x14ac:dyDescent="0.35">
      <c r="A34" t="s">
        <v>143</v>
      </c>
      <c r="B34" t="str" cm="1">
        <f t="array" ref="B34:C34">TRIM(_xlfn.TEXTSPLIT(A34, ","))</f>
        <v>Régimódi</v>
      </c>
      <c r="C34" t="str">
        <v>Könnyű játék</v>
      </c>
      <c r="E34">
        <v>33</v>
      </c>
      <c r="F34" t="s">
        <v>135</v>
      </c>
    </row>
    <row r="35" spans="1:6" x14ac:dyDescent="0.35">
      <c r="A35" t="s">
        <v>146</v>
      </c>
      <c r="B35" t="str" cm="1">
        <f t="array" ref="B35:C35">TRIM(_xlfn.TEXTSPLIT(A35, ","))</f>
        <v>Családi hagyomány</v>
      </c>
      <c r="C35" t="str">
        <v>Nagy nyeremények</v>
      </c>
      <c r="E35">
        <v>34</v>
      </c>
      <c r="F35" t="s">
        <v>74</v>
      </c>
    </row>
    <row r="36" spans="1:6" x14ac:dyDescent="0.35">
      <c r="A36" t="s">
        <v>149</v>
      </c>
      <c r="B36" t="str" cm="1">
        <f t="array" ref="B36:C36">TRIM(_xlfn.TEXTSPLIT(A36, ","))</f>
        <v>Családi hagyomány</v>
      </c>
      <c r="C36" t="str">
        <v>Hagyományos</v>
      </c>
      <c r="E36">
        <v>35</v>
      </c>
      <c r="F36" t="s">
        <v>74</v>
      </c>
    </row>
    <row r="37" spans="1:6" x14ac:dyDescent="0.35">
      <c r="A37" t="s">
        <v>152</v>
      </c>
      <c r="B37" t="str" cm="1">
        <f t="array" ref="B37:C37">TRIM(_xlfn.TEXTSPLIT(A37, ","))</f>
        <v>Nagy nyeremények</v>
      </c>
      <c r="C37" t="str">
        <v>Hagyományos</v>
      </c>
      <c r="E37">
        <v>36</v>
      </c>
      <c r="F37" t="s">
        <v>184</v>
      </c>
    </row>
    <row r="38" spans="1:6" x14ac:dyDescent="0.35">
      <c r="A38" t="s">
        <v>155</v>
      </c>
      <c r="B38" t="str" cm="1">
        <f t="array" ref="B38:C38">TRIM(_xlfn.TEXTSPLIT(A38, ","))</f>
        <v>Könnyű játék</v>
      </c>
      <c r="C38" t="str">
        <v>Esetleges pénzforrás</v>
      </c>
      <c r="E38">
        <v>37</v>
      </c>
      <c r="F38" t="s">
        <v>169</v>
      </c>
    </row>
    <row r="39" spans="1:6" x14ac:dyDescent="0.35">
      <c r="A39" t="s">
        <v>143</v>
      </c>
      <c r="B39" t="str" cm="1">
        <f t="array" ref="B39:C39">TRIM(_xlfn.TEXTSPLIT(A39, ","))</f>
        <v>Régimódi</v>
      </c>
      <c r="C39" t="str">
        <v>Könnyű játék</v>
      </c>
      <c r="E39">
        <v>38</v>
      </c>
      <c r="F39" t="s">
        <v>135</v>
      </c>
    </row>
    <row r="40" spans="1:6" x14ac:dyDescent="0.35">
      <c r="A40" t="s">
        <v>160</v>
      </c>
      <c r="B40" t="str" cm="1">
        <f t="array" ref="B40:D40">TRIM(_xlfn.TEXTSPLIT(A40, ","))</f>
        <v>Hagyományos</v>
      </c>
      <c r="C40" t="str">
        <v>Családi hagyomány</v>
      </c>
      <c r="D40" t="str">
        <v>Régimódi</v>
      </c>
      <c r="E40">
        <v>39</v>
      </c>
      <c r="F40" t="s">
        <v>104</v>
      </c>
    </row>
    <row r="41" spans="1:6" x14ac:dyDescent="0.35">
      <c r="A41" t="s">
        <v>163</v>
      </c>
      <c r="B41" t="str" cm="1">
        <f t="array" ref="B41:D41">TRIM(_xlfn.TEXTSPLIT(A41, ","))</f>
        <v>Nagy nyeremények</v>
      </c>
      <c r="C41" t="str">
        <v>Esetleges pénzforrás</v>
      </c>
      <c r="D41" t="str">
        <v>Régimódi</v>
      </c>
      <c r="E41">
        <v>40</v>
      </c>
      <c r="F41" t="s">
        <v>184</v>
      </c>
    </row>
    <row r="42" spans="1:6" x14ac:dyDescent="0.35">
      <c r="A42" t="s">
        <v>166</v>
      </c>
      <c r="B42" t="str" cm="1">
        <f t="array" ref="B42:C42">TRIM(_xlfn.TEXTSPLIT(A42, ","))</f>
        <v>Könnyű játék</v>
      </c>
      <c r="C42" t="str">
        <v>Hagyományos</v>
      </c>
      <c r="E42">
        <v>41</v>
      </c>
      <c r="F42" t="s">
        <v>169</v>
      </c>
    </row>
    <row r="43" spans="1:6" x14ac:dyDescent="0.35">
      <c r="A43" t="s">
        <v>169</v>
      </c>
      <c r="B43" t="str" cm="1">
        <f t="array" ref="B43">TRIM(_xlfn.TEXTSPLIT(A43, ","))</f>
        <v>Könnyű játék</v>
      </c>
      <c r="E43">
        <v>42</v>
      </c>
      <c r="F43" t="s">
        <v>169</v>
      </c>
    </row>
    <row r="44" spans="1:6" x14ac:dyDescent="0.35">
      <c r="A44" t="s">
        <v>172</v>
      </c>
      <c r="B44" t="str" cm="1">
        <f t="array" ref="B44:D44">TRIM(_xlfn.TEXTSPLIT(A44, ","))</f>
        <v>Unatkozás</v>
      </c>
      <c r="C44" t="str">
        <v>Nagy nyeremények</v>
      </c>
      <c r="D44" t="str">
        <v>Esetleges pénzforrás</v>
      </c>
      <c r="E44">
        <v>43</v>
      </c>
      <c r="F44" t="s">
        <v>49</v>
      </c>
    </row>
    <row r="45" spans="1:6" x14ac:dyDescent="0.35">
      <c r="A45" t="s">
        <v>175</v>
      </c>
      <c r="B45" t="str" cm="1">
        <f t="array" ref="B45:C45">TRIM(_xlfn.TEXTSPLIT(A45, ","))</f>
        <v>Unatkozás</v>
      </c>
      <c r="C45" t="str">
        <v>Esetleges pénzforrás</v>
      </c>
      <c r="E45">
        <v>44</v>
      </c>
      <c r="F45" t="s">
        <v>49</v>
      </c>
    </row>
    <row r="46" spans="1:6" x14ac:dyDescent="0.35">
      <c r="A46" t="s">
        <v>178</v>
      </c>
      <c r="B46" t="str" cm="1">
        <f t="array" ref="B46:D46">TRIM(_xlfn.TEXTSPLIT(A46, ","))</f>
        <v>Izgalom</v>
      </c>
      <c r="C46" t="str">
        <v>Hagyományos</v>
      </c>
      <c r="D46" t="str">
        <v>Családi hagyomány</v>
      </c>
      <c r="E46">
        <v>45</v>
      </c>
      <c r="F46" t="s">
        <v>77</v>
      </c>
    </row>
    <row r="47" spans="1:6" x14ac:dyDescent="0.35">
      <c r="A47" t="s">
        <v>181</v>
      </c>
      <c r="B47" t="str" cm="1">
        <f t="array" ref="B47:D47">TRIM(_xlfn.TEXTSPLIT(A47, ","))</f>
        <v>Könnyű játék</v>
      </c>
      <c r="C47" t="str">
        <v>Családi hagyomány</v>
      </c>
      <c r="D47" t="str">
        <v>Izgalom</v>
      </c>
      <c r="E47">
        <v>46</v>
      </c>
      <c r="F47" t="s">
        <v>169</v>
      </c>
    </row>
    <row r="48" spans="1:6" x14ac:dyDescent="0.35">
      <c r="A48" t="s">
        <v>184</v>
      </c>
      <c r="B48" t="str" cm="1">
        <f t="array" ref="B48">TRIM(_xlfn.TEXTSPLIT(A48, ","))</f>
        <v>Nagy nyeremények</v>
      </c>
      <c r="E48">
        <v>47</v>
      </c>
      <c r="F48" t="s">
        <v>184</v>
      </c>
    </row>
    <row r="49" spans="1:6" x14ac:dyDescent="0.35">
      <c r="A49" t="s">
        <v>184</v>
      </c>
      <c r="B49" t="str" cm="1">
        <f t="array" ref="B49">TRIM(_xlfn.TEXTSPLIT(A49, ","))</f>
        <v>Nagy nyeremények</v>
      </c>
      <c r="E49">
        <v>48</v>
      </c>
      <c r="F49" t="s">
        <v>184</v>
      </c>
    </row>
    <row r="50" spans="1:6" x14ac:dyDescent="0.35">
      <c r="A50" t="s">
        <v>77</v>
      </c>
      <c r="B50" t="str" cm="1">
        <f t="array" ref="B50">TRIM(_xlfn.TEXTSPLIT(A50, ","))</f>
        <v>Izgalom</v>
      </c>
      <c r="E50">
        <v>49</v>
      </c>
      <c r="F50" t="s">
        <v>77</v>
      </c>
    </row>
    <row r="51" spans="1:6" x14ac:dyDescent="0.35">
      <c r="A51" t="s">
        <v>149</v>
      </c>
      <c r="B51" t="str" cm="1">
        <f t="array" ref="B51:C51">TRIM(_xlfn.TEXTSPLIT(A51, ","))</f>
        <v>Családi hagyomány</v>
      </c>
      <c r="C51" t="str">
        <v>Hagyományos</v>
      </c>
      <c r="E51">
        <v>50</v>
      </c>
      <c r="F51" t="s">
        <v>74</v>
      </c>
    </row>
    <row r="52" spans="1:6" x14ac:dyDescent="0.35">
      <c r="A52" t="s">
        <v>192</v>
      </c>
      <c r="B52" t="str" cm="1">
        <f t="array" ref="B52:D52">TRIM(_xlfn.TEXTSPLIT(A52, ","))</f>
        <v>Hagyományos</v>
      </c>
      <c r="C52" t="str">
        <v>Családi hagyomány</v>
      </c>
      <c r="D52" t="str">
        <v>Könnyű játék</v>
      </c>
      <c r="E52">
        <v>51</v>
      </c>
      <c r="F52" t="s">
        <v>104</v>
      </c>
    </row>
    <row r="53" spans="1:6" x14ac:dyDescent="0.35">
      <c r="A53" t="s">
        <v>195</v>
      </c>
      <c r="B53" t="str" cm="1">
        <f t="array" ref="B53:D53">TRIM(_xlfn.TEXTSPLIT(A53, ","))</f>
        <v>Nagy nyeremények</v>
      </c>
      <c r="C53" t="str">
        <v>Régimódi</v>
      </c>
      <c r="D53" t="str">
        <v>Családi hagyomány</v>
      </c>
      <c r="E53">
        <v>52</v>
      </c>
      <c r="F53" t="s">
        <v>184</v>
      </c>
    </row>
    <row r="54" spans="1:6" x14ac:dyDescent="0.35">
      <c r="A54" t="s">
        <v>198</v>
      </c>
      <c r="B54" t="str" cm="1">
        <f t="array" ref="B54:D54">TRIM(_xlfn.TEXTSPLIT(A54, ","))</f>
        <v>Könnyű játék</v>
      </c>
      <c r="C54" t="str">
        <v>Unatkozás</v>
      </c>
      <c r="D54" t="str">
        <v>Esetleges pénzforrás</v>
      </c>
      <c r="E54">
        <v>53</v>
      </c>
      <c r="F54" t="s">
        <v>169</v>
      </c>
    </row>
    <row r="55" spans="1:6" x14ac:dyDescent="0.35">
      <c r="A55" t="s">
        <v>201</v>
      </c>
      <c r="B55" t="str" cm="1">
        <f t="array" ref="B55:C55">TRIM(_xlfn.TEXTSPLIT(A55, ","))</f>
        <v>Nagy nyeremények</v>
      </c>
      <c r="C55" t="str">
        <v>Könnyű játék</v>
      </c>
      <c r="E55">
        <v>54</v>
      </c>
      <c r="F55" t="s">
        <v>184</v>
      </c>
    </row>
    <row r="56" spans="1:6" x14ac:dyDescent="0.35">
      <c r="A56" t="s">
        <v>74</v>
      </c>
      <c r="B56" t="str" cm="1">
        <f t="array" ref="B56">TRIM(_xlfn.TEXTSPLIT(A56, ","))</f>
        <v>Családi hagyomány</v>
      </c>
      <c r="E56">
        <v>55</v>
      </c>
      <c r="F56" t="s">
        <v>74</v>
      </c>
    </row>
    <row r="57" spans="1:6" x14ac:dyDescent="0.35">
      <c r="A57" t="s">
        <v>205</v>
      </c>
      <c r="B57" t="str" cm="1">
        <f t="array" ref="B57:C57">TRIM(_xlfn.TEXTSPLIT(A57, ","))</f>
        <v>Hagyományos</v>
      </c>
      <c r="C57" t="str">
        <v>Izgalom</v>
      </c>
      <c r="E57">
        <v>56</v>
      </c>
      <c r="F57" t="s">
        <v>104</v>
      </c>
    </row>
    <row r="58" spans="1:6" x14ac:dyDescent="0.35">
      <c r="A58" t="s">
        <v>49</v>
      </c>
      <c r="B58" t="str" cm="1">
        <f t="array" ref="B58">TRIM(_xlfn.TEXTSPLIT(A58, ","))</f>
        <v>Unatkozás</v>
      </c>
      <c r="E58">
        <v>57</v>
      </c>
      <c r="F58" t="s">
        <v>49</v>
      </c>
    </row>
    <row r="59" spans="1:6" x14ac:dyDescent="0.35">
      <c r="A59" t="s">
        <v>210</v>
      </c>
      <c r="B59" t="str" cm="1">
        <f t="array" ref="B59:D59">TRIM(_xlfn.TEXTSPLIT(A59, ","))</f>
        <v>Könnyű játék</v>
      </c>
      <c r="C59" t="str">
        <v>Unatkozás</v>
      </c>
      <c r="D59" t="str">
        <v>Hagyományos</v>
      </c>
      <c r="E59">
        <v>58</v>
      </c>
      <c r="F59" t="s">
        <v>169</v>
      </c>
    </row>
    <row r="60" spans="1:6" x14ac:dyDescent="0.35">
      <c r="A60" t="s">
        <v>56</v>
      </c>
      <c r="B60" t="str" cm="1">
        <f t="array" ref="B60:C60">TRIM(_xlfn.TEXTSPLIT(A60, ","))</f>
        <v>Régimódi</v>
      </c>
      <c r="C60" t="str">
        <v>Izgalom</v>
      </c>
      <c r="E60">
        <v>59</v>
      </c>
      <c r="F60" t="s">
        <v>135</v>
      </c>
    </row>
    <row r="61" spans="1:6" x14ac:dyDescent="0.35">
      <c r="A61" t="s">
        <v>215</v>
      </c>
      <c r="B61" t="str" cm="1">
        <f t="array" ref="B61:D61">TRIM(_xlfn.TEXTSPLIT(A61, ","))</f>
        <v>Családi hagyomány</v>
      </c>
      <c r="C61" t="str">
        <v>Régimódi</v>
      </c>
      <c r="D61" t="str">
        <v>Unatkozás</v>
      </c>
      <c r="E61">
        <v>60</v>
      </c>
      <c r="F61" t="s">
        <v>74</v>
      </c>
    </row>
    <row r="62" spans="1:6" x14ac:dyDescent="0.35">
      <c r="A62" t="s">
        <v>49</v>
      </c>
      <c r="B62" t="str" cm="1">
        <f t="array" ref="B62">TRIM(_xlfn.TEXTSPLIT(A62, ","))</f>
        <v>Unatkozás</v>
      </c>
      <c r="E62">
        <v>61</v>
      </c>
      <c r="F62" t="s">
        <v>49</v>
      </c>
    </row>
    <row r="63" spans="1:6" x14ac:dyDescent="0.35">
      <c r="A63" t="s">
        <v>83</v>
      </c>
      <c r="B63" t="str" cm="1">
        <f t="array" ref="B63:C63">TRIM(_xlfn.TEXTSPLIT(A63, ","))</f>
        <v>Esetleges pénzforrás</v>
      </c>
      <c r="C63" t="str">
        <v>Családi hagyomány</v>
      </c>
      <c r="E63">
        <v>62</v>
      </c>
      <c r="F63" t="s">
        <v>27</v>
      </c>
    </row>
    <row r="64" spans="1:6" x14ac:dyDescent="0.35">
      <c r="A64" t="s">
        <v>175</v>
      </c>
      <c r="B64" t="str" cm="1">
        <f t="array" ref="B64:C64">TRIM(_xlfn.TEXTSPLIT(A64, ","))</f>
        <v>Unatkozás</v>
      </c>
      <c r="C64" t="str">
        <v>Esetleges pénzforrás</v>
      </c>
      <c r="E64">
        <v>63</v>
      </c>
      <c r="F64" t="s">
        <v>49</v>
      </c>
    </row>
    <row r="65" spans="1:6" x14ac:dyDescent="0.35">
      <c r="A65" t="s">
        <v>77</v>
      </c>
      <c r="B65" t="str" cm="1">
        <f t="array" ref="B65">TRIM(_xlfn.TEXTSPLIT(A65, ","))</f>
        <v>Izgalom</v>
      </c>
      <c r="E65">
        <v>64</v>
      </c>
      <c r="F65" t="s">
        <v>77</v>
      </c>
    </row>
    <row r="66" spans="1:6" x14ac:dyDescent="0.35">
      <c r="A66" t="s">
        <v>224</v>
      </c>
      <c r="B66" t="str" cm="1">
        <f t="array" ref="B66:D66">TRIM(_xlfn.TEXTSPLIT(A66, ","))</f>
        <v>Családi hagyomány</v>
      </c>
      <c r="C66" t="str">
        <v>Hagyományos</v>
      </c>
      <c r="D66" t="str">
        <v>Esetleges pénzforrás</v>
      </c>
      <c r="E66">
        <v>65</v>
      </c>
      <c r="F66" t="s">
        <v>74</v>
      </c>
    </row>
    <row r="67" spans="1:6" x14ac:dyDescent="0.35">
      <c r="A67" t="s">
        <v>227</v>
      </c>
      <c r="B67" t="str" cm="1">
        <f t="array" ref="B67:C67">TRIM(_xlfn.TEXTSPLIT(A67, ","))</f>
        <v>Esetleges pénzforrás</v>
      </c>
      <c r="C67" t="str">
        <v>Izgalom</v>
      </c>
      <c r="E67">
        <v>66</v>
      </c>
      <c r="F67" t="s">
        <v>27</v>
      </c>
    </row>
    <row r="68" spans="1:6" x14ac:dyDescent="0.35">
      <c r="A68" t="s">
        <v>184</v>
      </c>
      <c r="B68" t="str" cm="1">
        <f t="array" ref="B68">TRIM(_xlfn.TEXTSPLIT(A68, ","))</f>
        <v>Nagy nyeremények</v>
      </c>
      <c r="E68">
        <v>67</v>
      </c>
      <c r="F68" t="s">
        <v>184</v>
      </c>
    </row>
    <row r="69" spans="1:6" x14ac:dyDescent="0.35">
      <c r="A69" t="s">
        <v>231</v>
      </c>
      <c r="B69" t="str" cm="1">
        <f t="array" ref="B69:D69">TRIM(_xlfn.TEXTSPLIT(A69, ","))</f>
        <v>Családi hagyomány</v>
      </c>
      <c r="C69" t="str">
        <v>Nagy nyeremények</v>
      </c>
      <c r="D69" t="str">
        <v>Hagyományos</v>
      </c>
      <c r="E69">
        <v>68</v>
      </c>
      <c r="F69" t="s">
        <v>74</v>
      </c>
    </row>
    <row r="70" spans="1:6" x14ac:dyDescent="0.35">
      <c r="A70" t="s">
        <v>77</v>
      </c>
      <c r="B70" t="str" cm="1">
        <f t="array" ref="B70">TRIM(_xlfn.TEXTSPLIT(A70, ","))</f>
        <v>Izgalom</v>
      </c>
      <c r="E70">
        <v>69</v>
      </c>
      <c r="F70" t="s">
        <v>77</v>
      </c>
    </row>
    <row r="71" spans="1:6" x14ac:dyDescent="0.35">
      <c r="A71" t="s">
        <v>215</v>
      </c>
      <c r="B71" t="str" cm="1">
        <f t="array" ref="B71:D71">TRIM(_xlfn.TEXTSPLIT(A71, ","))</f>
        <v>Családi hagyomány</v>
      </c>
      <c r="C71" t="str">
        <v>Régimódi</v>
      </c>
      <c r="D71" t="str">
        <v>Unatkozás</v>
      </c>
      <c r="E71">
        <v>70</v>
      </c>
      <c r="F71" t="s">
        <v>74</v>
      </c>
    </row>
    <row r="72" spans="1:6" x14ac:dyDescent="0.35">
      <c r="A72" t="s">
        <v>237</v>
      </c>
      <c r="B72" t="str" cm="1">
        <f t="array" ref="B72:D72">TRIM(_xlfn.TEXTSPLIT(A72, ","))</f>
        <v>Esetleges pénzforrás</v>
      </c>
      <c r="C72" t="str">
        <v>Régimódi</v>
      </c>
      <c r="D72" t="str">
        <v>Unatkozás</v>
      </c>
      <c r="E72">
        <v>71</v>
      </c>
      <c r="F72" t="s">
        <v>27</v>
      </c>
    </row>
    <row r="73" spans="1:6" x14ac:dyDescent="0.35">
      <c r="A73" t="s">
        <v>240</v>
      </c>
      <c r="B73" t="str" cm="1">
        <f t="array" ref="B73:C73">TRIM(_xlfn.TEXTSPLIT(A73, ","))</f>
        <v>Esetleges pénzforrás</v>
      </c>
      <c r="C73" t="str">
        <v>Unatkozás</v>
      </c>
      <c r="E73">
        <v>72</v>
      </c>
      <c r="F73" t="s">
        <v>27</v>
      </c>
    </row>
    <row r="74" spans="1:6" x14ac:dyDescent="0.35">
      <c r="A74" t="s">
        <v>149</v>
      </c>
      <c r="B74" t="str" cm="1">
        <f t="array" ref="B74:C74">TRIM(_xlfn.TEXTSPLIT(A74, ","))</f>
        <v>Családi hagyomány</v>
      </c>
      <c r="C74" t="str">
        <v>Hagyományos</v>
      </c>
      <c r="E74">
        <v>73</v>
      </c>
      <c r="F74" t="s">
        <v>74</v>
      </c>
    </row>
    <row r="75" spans="1:6" x14ac:dyDescent="0.35">
      <c r="A75" t="s">
        <v>169</v>
      </c>
      <c r="B75" t="str" cm="1">
        <f t="array" ref="B75">TRIM(_xlfn.TEXTSPLIT(A75, ","))</f>
        <v>Könnyű játék</v>
      </c>
      <c r="E75">
        <v>74</v>
      </c>
      <c r="F75" t="s">
        <v>169</v>
      </c>
    </row>
    <row r="76" spans="1:6" x14ac:dyDescent="0.35">
      <c r="A76" t="s">
        <v>184</v>
      </c>
      <c r="B76" t="str" cm="1">
        <f t="array" ref="B76">TRIM(_xlfn.TEXTSPLIT(A76, ","))</f>
        <v>Nagy nyeremények</v>
      </c>
      <c r="E76">
        <v>75</v>
      </c>
      <c r="F76" t="s">
        <v>184</v>
      </c>
    </row>
    <row r="77" spans="1:6" x14ac:dyDescent="0.35">
      <c r="A77" t="s">
        <v>248</v>
      </c>
      <c r="B77" t="str" cm="1">
        <f t="array" ref="B77:D77">TRIM(_xlfn.TEXTSPLIT(A77, ","))</f>
        <v>Könnyű játék</v>
      </c>
      <c r="C77" t="str">
        <v>Nagy nyeremények</v>
      </c>
      <c r="D77" t="str">
        <v>Családi hagyomány</v>
      </c>
      <c r="E77">
        <v>76</v>
      </c>
      <c r="F77" t="s">
        <v>169</v>
      </c>
    </row>
    <row r="78" spans="1:6" x14ac:dyDescent="0.35">
      <c r="A78" t="s">
        <v>251</v>
      </c>
      <c r="B78" t="str" cm="1">
        <f t="array" ref="B78:C78">TRIM(_xlfn.TEXTSPLIT(A78, ","))</f>
        <v>Izgalom</v>
      </c>
      <c r="C78" t="str">
        <v>Nagy nyeremények</v>
      </c>
      <c r="E78">
        <v>77</v>
      </c>
      <c r="F78" t="s">
        <v>77</v>
      </c>
    </row>
    <row r="79" spans="1:6" x14ac:dyDescent="0.35">
      <c r="A79" t="s">
        <v>254</v>
      </c>
      <c r="B79" t="str" cm="1">
        <f t="array" ref="B79:C79">TRIM(_xlfn.TEXTSPLIT(A79, ","))</f>
        <v>Régimódi</v>
      </c>
      <c r="C79" t="str">
        <v>Nagy nyeremények</v>
      </c>
      <c r="E79">
        <v>78</v>
      </c>
      <c r="F79" t="s">
        <v>135</v>
      </c>
    </row>
    <row r="80" spans="1:6" x14ac:dyDescent="0.35">
      <c r="A80" t="s">
        <v>257</v>
      </c>
      <c r="B80" t="str" cm="1">
        <f t="array" ref="B80:C80">TRIM(_xlfn.TEXTSPLIT(A80, ","))</f>
        <v>Hagyományos</v>
      </c>
      <c r="C80" t="str">
        <v>Unatkozás</v>
      </c>
      <c r="E80">
        <v>79</v>
      </c>
      <c r="F80" t="s">
        <v>104</v>
      </c>
    </row>
    <row r="81" spans="1:6" x14ac:dyDescent="0.35">
      <c r="A81" t="s">
        <v>260</v>
      </c>
      <c r="B81" t="str" cm="1">
        <f t="array" ref="B81:D81">TRIM(_xlfn.TEXTSPLIT(A81, ","))</f>
        <v>Könnyű játék</v>
      </c>
      <c r="C81" t="str">
        <v>Családi hagyomány</v>
      </c>
      <c r="D81" t="str">
        <v>Unatkozás</v>
      </c>
      <c r="E81">
        <v>80</v>
      </c>
      <c r="F81" t="s">
        <v>169</v>
      </c>
    </row>
    <row r="82" spans="1:6" x14ac:dyDescent="0.35">
      <c r="A82" t="s">
        <v>169</v>
      </c>
      <c r="B82" t="str" cm="1">
        <f t="array" ref="B82">TRIM(_xlfn.TEXTSPLIT(A82, ","))</f>
        <v>Könnyű játék</v>
      </c>
      <c r="E82">
        <v>81</v>
      </c>
      <c r="F82" t="s">
        <v>169</v>
      </c>
    </row>
    <row r="83" spans="1:6" x14ac:dyDescent="0.35">
      <c r="A83" t="s">
        <v>264</v>
      </c>
      <c r="B83" t="str" cm="1">
        <f t="array" ref="B83:D83">TRIM(_xlfn.TEXTSPLIT(A83, ","))</f>
        <v>Családi hagyomány</v>
      </c>
      <c r="C83" t="str">
        <v>Hagyományos</v>
      </c>
      <c r="D83" t="str">
        <v>Izgalom</v>
      </c>
      <c r="E83">
        <v>82</v>
      </c>
      <c r="F83" t="s">
        <v>74</v>
      </c>
    </row>
    <row r="84" spans="1:6" x14ac:dyDescent="0.35">
      <c r="A84" t="s">
        <v>74</v>
      </c>
      <c r="B84" t="str" cm="1">
        <f t="array" ref="B84">TRIM(_xlfn.TEXTSPLIT(A84, ","))</f>
        <v>Családi hagyomány</v>
      </c>
      <c r="E84">
        <v>83</v>
      </c>
      <c r="F84" t="s">
        <v>74</v>
      </c>
    </row>
    <row r="85" spans="1:6" x14ac:dyDescent="0.35">
      <c r="A85" t="s">
        <v>267</v>
      </c>
      <c r="B85" t="str" cm="1">
        <f t="array" ref="B85:C85">TRIM(_xlfn.TEXTSPLIT(A85, ","))</f>
        <v>Izgalom</v>
      </c>
      <c r="C85" t="str">
        <v>Könnyű játék</v>
      </c>
      <c r="E85">
        <v>84</v>
      </c>
      <c r="F85" t="s">
        <v>77</v>
      </c>
    </row>
    <row r="86" spans="1:6" x14ac:dyDescent="0.35">
      <c r="A86" t="s">
        <v>104</v>
      </c>
      <c r="B86" t="str" cm="1">
        <f t="array" ref="B86">TRIM(_xlfn.TEXTSPLIT(A86, ","))</f>
        <v>Hagyományos</v>
      </c>
      <c r="E86">
        <v>85</v>
      </c>
      <c r="F86" t="s">
        <v>104</v>
      </c>
    </row>
    <row r="87" spans="1:6" x14ac:dyDescent="0.35">
      <c r="A87" t="s">
        <v>271</v>
      </c>
      <c r="B87" t="str" cm="1">
        <f t="array" ref="B87:C87">TRIM(_xlfn.TEXTSPLIT(A87, ","))</f>
        <v>Unatkozás</v>
      </c>
      <c r="C87" t="str">
        <v>Hagyományos</v>
      </c>
      <c r="E87">
        <v>86</v>
      </c>
      <c r="F87" t="s">
        <v>49</v>
      </c>
    </row>
    <row r="88" spans="1:6" x14ac:dyDescent="0.35">
      <c r="A88" t="s">
        <v>274</v>
      </c>
      <c r="B88" t="str" cm="1">
        <f t="array" ref="B88:D88">TRIM(_xlfn.TEXTSPLIT(A88, ","))</f>
        <v>Esetleges pénzforrás</v>
      </c>
      <c r="C88" t="str">
        <v>Izgalom</v>
      </c>
      <c r="D88" t="str">
        <v>Unatkozás</v>
      </c>
      <c r="E88">
        <v>87</v>
      </c>
      <c r="F88" t="s">
        <v>27</v>
      </c>
    </row>
    <row r="89" spans="1:6" x14ac:dyDescent="0.35">
      <c r="A89" t="s">
        <v>104</v>
      </c>
      <c r="B89" t="str" cm="1">
        <f t="array" ref="B89">TRIM(_xlfn.TEXTSPLIT(A89, ","))</f>
        <v>Hagyományos</v>
      </c>
      <c r="E89">
        <v>88</v>
      </c>
      <c r="F89" t="s">
        <v>104</v>
      </c>
    </row>
    <row r="90" spans="1:6" x14ac:dyDescent="0.35">
      <c r="A90" t="s">
        <v>278</v>
      </c>
      <c r="B90" t="str" cm="1">
        <f t="array" ref="B90:D90">TRIM(_xlfn.TEXTSPLIT(A90, ","))</f>
        <v>Hagyományos</v>
      </c>
      <c r="C90" t="str">
        <v>Unatkozás</v>
      </c>
      <c r="D90" t="str">
        <v>Nagy nyeremények</v>
      </c>
      <c r="E90">
        <v>89</v>
      </c>
      <c r="F90" t="s">
        <v>104</v>
      </c>
    </row>
    <row r="91" spans="1:6" x14ac:dyDescent="0.35">
      <c r="A91" t="s">
        <v>169</v>
      </c>
      <c r="B91" t="str" cm="1">
        <f t="array" ref="B91">TRIM(_xlfn.TEXTSPLIT(A91, ","))</f>
        <v>Könnyű játék</v>
      </c>
      <c r="E91">
        <v>90</v>
      </c>
      <c r="F91" t="s">
        <v>169</v>
      </c>
    </row>
    <row r="92" spans="1:6" x14ac:dyDescent="0.35">
      <c r="A92" t="s">
        <v>169</v>
      </c>
      <c r="B92" t="str" cm="1">
        <f t="array" ref="B92">TRIM(_xlfn.TEXTSPLIT(A92, ","))</f>
        <v>Könnyű játék</v>
      </c>
      <c r="E92">
        <v>91</v>
      </c>
      <c r="F92" t="s">
        <v>169</v>
      </c>
    </row>
    <row r="93" spans="1:6" x14ac:dyDescent="0.35">
      <c r="A93" t="s">
        <v>184</v>
      </c>
      <c r="B93" t="str" cm="1">
        <f t="array" ref="B93">TRIM(_xlfn.TEXTSPLIT(A93, ","))</f>
        <v>Nagy nyeremények</v>
      </c>
      <c r="E93">
        <v>92</v>
      </c>
      <c r="F93" t="s">
        <v>184</v>
      </c>
    </row>
    <row r="94" spans="1:6" x14ac:dyDescent="0.35">
      <c r="A94" t="s">
        <v>169</v>
      </c>
      <c r="B94" t="str" cm="1">
        <f t="array" ref="B94">TRIM(_xlfn.TEXTSPLIT(A94, ","))</f>
        <v>Könnyű játék</v>
      </c>
      <c r="E94">
        <v>93</v>
      </c>
      <c r="F94" t="s">
        <v>169</v>
      </c>
    </row>
    <row r="95" spans="1:6" x14ac:dyDescent="0.35">
      <c r="A95" t="s">
        <v>104</v>
      </c>
      <c r="B95" t="str" cm="1">
        <f t="array" ref="B95">TRIM(_xlfn.TEXTSPLIT(A95, ","))</f>
        <v>Hagyományos</v>
      </c>
      <c r="E95">
        <v>94</v>
      </c>
      <c r="F95" t="s">
        <v>104</v>
      </c>
    </row>
    <row r="96" spans="1:6" x14ac:dyDescent="0.35">
      <c r="A96" t="s">
        <v>288</v>
      </c>
      <c r="B96" t="str" cm="1">
        <f t="array" ref="B96:C96">TRIM(_xlfn.TEXTSPLIT(A96, ","))</f>
        <v>Nagy nyeremények</v>
      </c>
      <c r="C96" t="str">
        <v>Unatkozás</v>
      </c>
      <c r="E96">
        <v>95</v>
      </c>
      <c r="F96" t="s">
        <v>184</v>
      </c>
    </row>
    <row r="97" spans="1:6" x14ac:dyDescent="0.35">
      <c r="A97" t="s">
        <v>135</v>
      </c>
      <c r="B97" t="str" cm="1">
        <f t="array" ref="B97">TRIM(_xlfn.TEXTSPLIT(A97, ","))</f>
        <v>Régimódi</v>
      </c>
      <c r="E97">
        <v>96</v>
      </c>
      <c r="F97" t="s">
        <v>135</v>
      </c>
    </row>
    <row r="98" spans="1:6" x14ac:dyDescent="0.35">
      <c r="A98" t="s">
        <v>293</v>
      </c>
      <c r="B98" t="str" cm="1">
        <f t="array" ref="B98:D98">TRIM(_xlfn.TEXTSPLIT(A98, ","))</f>
        <v>Unatkozás</v>
      </c>
      <c r="C98" t="str">
        <v>Izgalom</v>
      </c>
      <c r="D98" t="str">
        <v>Családi hagyomány</v>
      </c>
      <c r="E98">
        <v>97</v>
      </c>
      <c r="F98" t="s">
        <v>49</v>
      </c>
    </row>
    <row r="99" spans="1:6" x14ac:dyDescent="0.35">
      <c r="E99">
        <v>98</v>
      </c>
      <c r="F99" t="s">
        <v>77</v>
      </c>
    </row>
    <row r="100" spans="1:6" x14ac:dyDescent="0.35">
      <c r="E100">
        <v>99</v>
      </c>
      <c r="F100" t="s">
        <v>104</v>
      </c>
    </row>
    <row r="101" spans="1:6" x14ac:dyDescent="0.35">
      <c r="E101">
        <v>100</v>
      </c>
      <c r="F101" t="s">
        <v>77</v>
      </c>
    </row>
    <row r="102" spans="1:6" x14ac:dyDescent="0.35">
      <c r="E102">
        <v>101</v>
      </c>
      <c r="F102" t="s">
        <v>104</v>
      </c>
    </row>
    <row r="103" spans="1:6" x14ac:dyDescent="0.35">
      <c r="E103">
        <v>102</v>
      </c>
      <c r="F103" t="s">
        <v>77</v>
      </c>
    </row>
    <row r="104" spans="1:6" x14ac:dyDescent="0.35">
      <c r="E104">
        <v>103</v>
      </c>
      <c r="F104" t="s">
        <v>74</v>
      </c>
    </row>
    <row r="105" spans="1:6" x14ac:dyDescent="0.35">
      <c r="E105">
        <v>104</v>
      </c>
      <c r="F105" t="s">
        <v>27</v>
      </c>
    </row>
    <row r="106" spans="1:6" x14ac:dyDescent="0.35">
      <c r="E106">
        <v>105</v>
      </c>
      <c r="F106" t="s">
        <v>49</v>
      </c>
    </row>
    <row r="107" spans="1:6" x14ac:dyDescent="0.35">
      <c r="E107">
        <v>106</v>
      </c>
      <c r="F107" t="s">
        <v>135</v>
      </c>
    </row>
    <row r="108" spans="1:6" x14ac:dyDescent="0.35">
      <c r="E108">
        <v>107</v>
      </c>
      <c r="F108" t="s">
        <v>27</v>
      </c>
    </row>
    <row r="109" spans="1:6" x14ac:dyDescent="0.35">
      <c r="E109">
        <v>108</v>
      </c>
      <c r="F109" t="s">
        <v>135</v>
      </c>
    </row>
    <row r="110" spans="1:6" x14ac:dyDescent="0.35">
      <c r="E110">
        <v>109</v>
      </c>
      <c r="F110" t="s">
        <v>77</v>
      </c>
    </row>
    <row r="111" spans="1:6" x14ac:dyDescent="0.35">
      <c r="E111">
        <v>110</v>
      </c>
      <c r="F111" t="s">
        <v>104</v>
      </c>
    </row>
    <row r="112" spans="1:6" x14ac:dyDescent="0.35">
      <c r="E112">
        <v>111</v>
      </c>
      <c r="F112" t="s">
        <v>49</v>
      </c>
    </row>
    <row r="113" spans="5:6" x14ac:dyDescent="0.35">
      <c r="E113">
        <v>112</v>
      </c>
      <c r="F113" t="s">
        <v>169</v>
      </c>
    </row>
    <row r="114" spans="5:6" x14ac:dyDescent="0.35">
      <c r="E114">
        <v>113</v>
      </c>
      <c r="F114" t="s">
        <v>49</v>
      </c>
    </row>
    <row r="115" spans="5:6" x14ac:dyDescent="0.35">
      <c r="E115">
        <v>114</v>
      </c>
      <c r="F115" t="s">
        <v>49</v>
      </c>
    </row>
    <row r="116" spans="5:6" x14ac:dyDescent="0.35">
      <c r="E116">
        <v>115</v>
      </c>
      <c r="F116" t="s">
        <v>104</v>
      </c>
    </row>
    <row r="117" spans="5:6" x14ac:dyDescent="0.35">
      <c r="E117">
        <v>116</v>
      </c>
      <c r="F117" t="s">
        <v>169</v>
      </c>
    </row>
    <row r="118" spans="5:6" x14ac:dyDescent="0.35">
      <c r="E118">
        <v>117</v>
      </c>
      <c r="F118" t="s">
        <v>184</v>
      </c>
    </row>
    <row r="119" spans="5:6" x14ac:dyDescent="0.35">
      <c r="E119">
        <v>118</v>
      </c>
      <c r="F119" t="s">
        <v>104</v>
      </c>
    </row>
    <row r="120" spans="5:6" x14ac:dyDescent="0.35">
      <c r="E120">
        <v>119</v>
      </c>
      <c r="F120" t="s">
        <v>104</v>
      </c>
    </row>
    <row r="121" spans="5:6" x14ac:dyDescent="0.35">
      <c r="E121">
        <v>120</v>
      </c>
      <c r="F121" t="s">
        <v>27</v>
      </c>
    </row>
    <row r="122" spans="5:6" x14ac:dyDescent="0.35">
      <c r="E122">
        <v>121</v>
      </c>
      <c r="F122" t="s">
        <v>169</v>
      </c>
    </row>
    <row r="123" spans="5:6" x14ac:dyDescent="0.35">
      <c r="E123">
        <v>122</v>
      </c>
      <c r="F123" t="s">
        <v>74</v>
      </c>
    </row>
    <row r="124" spans="5:6" x14ac:dyDescent="0.35">
      <c r="E124">
        <v>123</v>
      </c>
      <c r="F124" t="s">
        <v>27</v>
      </c>
    </row>
    <row r="125" spans="5:6" x14ac:dyDescent="0.35">
      <c r="E125">
        <v>124</v>
      </c>
      <c r="F125" t="s">
        <v>104</v>
      </c>
    </row>
    <row r="126" spans="5:6" x14ac:dyDescent="0.35">
      <c r="E126">
        <v>125</v>
      </c>
      <c r="F126" t="s">
        <v>184</v>
      </c>
    </row>
    <row r="127" spans="5:6" x14ac:dyDescent="0.35">
      <c r="E127">
        <v>126</v>
      </c>
      <c r="F127" t="s">
        <v>27</v>
      </c>
    </row>
    <row r="128" spans="5:6" x14ac:dyDescent="0.35">
      <c r="E128">
        <v>127</v>
      </c>
      <c r="F128" t="s">
        <v>104</v>
      </c>
    </row>
    <row r="129" spans="5:6" x14ac:dyDescent="0.35">
      <c r="E129">
        <v>128</v>
      </c>
      <c r="F129" t="s">
        <v>74</v>
      </c>
    </row>
    <row r="130" spans="5:6" x14ac:dyDescent="0.35">
      <c r="E130">
        <v>129</v>
      </c>
      <c r="F130" t="s">
        <v>104</v>
      </c>
    </row>
    <row r="131" spans="5:6" x14ac:dyDescent="0.35">
      <c r="E131">
        <v>130</v>
      </c>
      <c r="F131" t="s">
        <v>74</v>
      </c>
    </row>
    <row r="132" spans="5:6" x14ac:dyDescent="0.35">
      <c r="E132">
        <v>131</v>
      </c>
      <c r="F132" t="s">
        <v>135</v>
      </c>
    </row>
    <row r="133" spans="5:6" x14ac:dyDescent="0.35">
      <c r="E133">
        <v>132</v>
      </c>
      <c r="F133" t="s">
        <v>49</v>
      </c>
    </row>
    <row r="134" spans="5:6" x14ac:dyDescent="0.35">
      <c r="E134">
        <v>133</v>
      </c>
      <c r="F134" t="s">
        <v>169</v>
      </c>
    </row>
    <row r="135" spans="5:6" x14ac:dyDescent="0.35">
      <c r="E135">
        <v>134</v>
      </c>
      <c r="F135" t="s">
        <v>77</v>
      </c>
    </row>
    <row r="136" spans="5:6" x14ac:dyDescent="0.35">
      <c r="E136">
        <v>135</v>
      </c>
      <c r="F136" t="s">
        <v>49</v>
      </c>
    </row>
    <row r="137" spans="5:6" x14ac:dyDescent="0.35">
      <c r="E137">
        <v>136</v>
      </c>
      <c r="F137" t="s">
        <v>77</v>
      </c>
    </row>
    <row r="138" spans="5:6" x14ac:dyDescent="0.35">
      <c r="E138">
        <v>137</v>
      </c>
      <c r="F138" t="s">
        <v>135</v>
      </c>
    </row>
    <row r="139" spans="5:6" x14ac:dyDescent="0.35">
      <c r="E139">
        <v>138</v>
      </c>
      <c r="F139" t="s">
        <v>74</v>
      </c>
    </row>
    <row r="140" spans="5:6" x14ac:dyDescent="0.35">
      <c r="E140">
        <v>139</v>
      </c>
      <c r="F140" t="s">
        <v>27</v>
      </c>
    </row>
    <row r="141" spans="5:6" x14ac:dyDescent="0.35">
      <c r="E141">
        <v>140</v>
      </c>
      <c r="F141" t="s">
        <v>104</v>
      </c>
    </row>
    <row r="142" spans="5:6" x14ac:dyDescent="0.35">
      <c r="E142">
        <v>141</v>
      </c>
      <c r="F142" t="s">
        <v>77</v>
      </c>
    </row>
    <row r="143" spans="5:6" x14ac:dyDescent="0.35">
      <c r="E143">
        <v>142</v>
      </c>
      <c r="F143" t="s">
        <v>184</v>
      </c>
    </row>
    <row r="144" spans="5:6" x14ac:dyDescent="0.35">
      <c r="E144">
        <v>143</v>
      </c>
      <c r="F144" t="s">
        <v>135</v>
      </c>
    </row>
    <row r="145" spans="5:6" x14ac:dyDescent="0.35">
      <c r="E145">
        <v>144</v>
      </c>
      <c r="F145" t="s">
        <v>135</v>
      </c>
    </row>
    <row r="146" spans="5:6" x14ac:dyDescent="0.35">
      <c r="E146">
        <v>145</v>
      </c>
      <c r="F146" t="s">
        <v>49</v>
      </c>
    </row>
    <row r="147" spans="5:6" x14ac:dyDescent="0.35">
      <c r="E147">
        <v>146</v>
      </c>
      <c r="F147" t="s">
        <v>104</v>
      </c>
    </row>
    <row r="148" spans="5:6" x14ac:dyDescent="0.35">
      <c r="E148">
        <v>147</v>
      </c>
      <c r="F148" t="s">
        <v>184</v>
      </c>
    </row>
    <row r="149" spans="5:6" x14ac:dyDescent="0.35">
      <c r="E149">
        <v>148</v>
      </c>
      <c r="F149" t="s">
        <v>184</v>
      </c>
    </row>
    <row r="150" spans="5:6" x14ac:dyDescent="0.35">
      <c r="E150">
        <v>149</v>
      </c>
      <c r="F150" t="s">
        <v>184</v>
      </c>
    </row>
    <row r="151" spans="5:6" x14ac:dyDescent="0.35">
      <c r="E151">
        <v>150</v>
      </c>
      <c r="F151" t="s">
        <v>49</v>
      </c>
    </row>
    <row r="152" spans="5:6" x14ac:dyDescent="0.35">
      <c r="E152">
        <v>151</v>
      </c>
      <c r="F152" t="s">
        <v>74</v>
      </c>
    </row>
    <row r="153" spans="5:6" x14ac:dyDescent="0.35">
      <c r="E153">
        <v>152</v>
      </c>
      <c r="F153" t="s">
        <v>104</v>
      </c>
    </row>
    <row r="154" spans="5:6" x14ac:dyDescent="0.35">
      <c r="E154">
        <v>153</v>
      </c>
      <c r="F154" t="s">
        <v>169</v>
      </c>
    </row>
    <row r="155" spans="5:6" x14ac:dyDescent="0.35">
      <c r="E155">
        <v>154</v>
      </c>
      <c r="F155" t="s">
        <v>104</v>
      </c>
    </row>
    <row r="156" spans="5:6" x14ac:dyDescent="0.35">
      <c r="E156">
        <v>155</v>
      </c>
      <c r="F156" t="s">
        <v>77</v>
      </c>
    </row>
    <row r="157" spans="5:6" x14ac:dyDescent="0.35">
      <c r="E157">
        <v>156</v>
      </c>
      <c r="F157" t="s">
        <v>49</v>
      </c>
    </row>
    <row r="158" spans="5:6" x14ac:dyDescent="0.35">
      <c r="E158">
        <v>157</v>
      </c>
      <c r="F158" t="s">
        <v>49</v>
      </c>
    </row>
    <row r="159" spans="5:6" x14ac:dyDescent="0.35">
      <c r="E159">
        <v>158</v>
      </c>
      <c r="F159" t="s">
        <v>77</v>
      </c>
    </row>
    <row r="160" spans="5:6" x14ac:dyDescent="0.35">
      <c r="E160">
        <v>159</v>
      </c>
      <c r="F160" t="s">
        <v>135</v>
      </c>
    </row>
    <row r="161" spans="5:6" x14ac:dyDescent="0.35">
      <c r="E161">
        <v>160</v>
      </c>
      <c r="F161" t="s">
        <v>49</v>
      </c>
    </row>
    <row r="162" spans="5:6" x14ac:dyDescent="0.35">
      <c r="E162">
        <v>161</v>
      </c>
      <c r="F162" t="s">
        <v>169</v>
      </c>
    </row>
    <row r="163" spans="5:6" x14ac:dyDescent="0.35">
      <c r="E163">
        <v>162</v>
      </c>
      <c r="F163" t="s">
        <v>49</v>
      </c>
    </row>
    <row r="164" spans="5:6" x14ac:dyDescent="0.35">
      <c r="E164">
        <v>163</v>
      </c>
      <c r="F164" t="s">
        <v>135</v>
      </c>
    </row>
    <row r="165" spans="5:6" x14ac:dyDescent="0.35">
      <c r="E165">
        <v>164</v>
      </c>
      <c r="F165" t="s">
        <v>49</v>
      </c>
    </row>
    <row r="166" spans="5:6" x14ac:dyDescent="0.35">
      <c r="E166">
        <v>165</v>
      </c>
      <c r="F166" t="s">
        <v>74</v>
      </c>
    </row>
    <row r="167" spans="5:6" x14ac:dyDescent="0.35">
      <c r="E167">
        <v>166</v>
      </c>
      <c r="F167" t="s">
        <v>169</v>
      </c>
    </row>
    <row r="168" spans="5:6" x14ac:dyDescent="0.35">
      <c r="E168">
        <v>167</v>
      </c>
      <c r="F168" t="s">
        <v>104</v>
      </c>
    </row>
    <row r="169" spans="5:6" x14ac:dyDescent="0.35">
      <c r="E169">
        <v>168</v>
      </c>
      <c r="F169" t="s">
        <v>169</v>
      </c>
    </row>
    <row r="170" spans="5:6" x14ac:dyDescent="0.35">
      <c r="E170">
        <v>169</v>
      </c>
      <c r="F170" t="s">
        <v>77</v>
      </c>
    </row>
    <row r="171" spans="5:6" x14ac:dyDescent="0.35">
      <c r="E171">
        <v>170</v>
      </c>
      <c r="F171" t="s">
        <v>135</v>
      </c>
    </row>
    <row r="172" spans="5:6" x14ac:dyDescent="0.35">
      <c r="E172">
        <v>171</v>
      </c>
      <c r="F172" t="s">
        <v>135</v>
      </c>
    </row>
    <row r="173" spans="5:6" x14ac:dyDescent="0.35">
      <c r="E173">
        <v>172</v>
      </c>
      <c r="F173" t="s">
        <v>27</v>
      </c>
    </row>
    <row r="174" spans="5:6" x14ac:dyDescent="0.35">
      <c r="E174">
        <v>173</v>
      </c>
      <c r="F174" t="s">
        <v>74</v>
      </c>
    </row>
    <row r="175" spans="5:6" x14ac:dyDescent="0.35">
      <c r="E175">
        <v>174</v>
      </c>
      <c r="F175" t="s">
        <v>169</v>
      </c>
    </row>
    <row r="176" spans="5:6" x14ac:dyDescent="0.35">
      <c r="E176">
        <v>175</v>
      </c>
      <c r="F176" t="s">
        <v>74</v>
      </c>
    </row>
    <row r="177" spans="5:6" x14ac:dyDescent="0.35">
      <c r="E177">
        <v>176</v>
      </c>
      <c r="F177" t="s">
        <v>27</v>
      </c>
    </row>
    <row r="178" spans="5:6" x14ac:dyDescent="0.35">
      <c r="E178">
        <v>177</v>
      </c>
      <c r="F178" t="s">
        <v>104</v>
      </c>
    </row>
    <row r="179" spans="5:6" x14ac:dyDescent="0.35">
      <c r="E179">
        <v>178</v>
      </c>
      <c r="F179" t="s">
        <v>49</v>
      </c>
    </row>
    <row r="180" spans="5:6" x14ac:dyDescent="0.35">
      <c r="E180">
        <v>179</v>
      </c>
      <c r="F180" t="s">
        <v>27</v>
      </c>
    </row>
    <row r="181" spans="5:6" x14ac:dyDescent="0.35">
      <c r="E181">
        <v>180</v>
      </c>
      <c r="F181" t="s">
        <v>104</v>
      </c>
    </row>
    <row r="182" spans="5:6" x14ac:dyDescent="0.35">
      <c r="E182">
        <v>181</v>
      </c>
      <c r="F182" t="s">
        <v>49</v>
      </c>
    </row>
    <row r="183" spans="5:6" x14ac:dyDescent="0.35">
      <c r="E183">
        <v>182</v>
      </c>
      <c r="F183" t="s">
        <v>49</v>
      </c>
    </row>
    <row r="184" spans="5:6" x14ac:dyDescent="0.35">
      <c r="E184">
        <v>183</v>
      </c>
      <c r="F184" t="s">
        <v>74</v>
      </c>
    </row>
    <row r="185" spans="5:6" x14ac:dyDescent="0.35">
      <c r="E185">
        <v>184</v>
      </c>
      <c r="F185" t="s">
        <v>49</v>
      </c>
    </row>
    <row r="186" spans="5:6" x14ac:dyDescent="0.35">
      <c r="E186">
        <v>185</v>
      </c>
      <c r="F186" t="s">
        <v>77</v>
      </c>
    </row>
    <row r="187" spans="5:6" x14ac:dyDescent="0.35">
      <c r="E187">
        <v>186</v>
      </c>
      <c r="F187" t="s">
        <v>49</v>
      </c>
    </row>
    <row r="188" spans="5:6" x14ac:dyDescent="0.35">
      <c r="E188">
        <v>187</v>
      </c>
      <c r="F188" t="s">
        <v>184</v>
      </c>
    </row>
    <row r="189" spans="5:6" x14ac:dyDescent="0.35">
      <c r="E189">
        <v>188</v>
      </c>
      <c r="F18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Ákos Kiss</cp:lastModifiedBy>
  <cp:revision/>
  <dcterms:created xsi:type="dcterms:W3CDTF">2026-04-24T17:06:45Z</dcterms:created>
  <dcterms:modified xsi:type="dcterms:W3CDTF">2026-04-24T17:32:22Z</dcterms:modified>
  <cp:category/>
  <cp:contentStatus/>
</cp:coreProperties>
</file>